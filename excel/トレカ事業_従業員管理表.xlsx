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3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1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6年08月" sheetId="1" state="visible" r:id="rId3"/>
    <sheet name="2026年09月" sheetId="2" state="visible" r:id="rId4"/>
    <sheet name="2026年10月" sheetId="3" state="visible" r:id="rId5"/>
    <sheet name="2026年11月" sheetId="4" state="visible" r:id="rId6"/>
    <sheet name="2026年12月" sheetId="5" state="visible" r:id="rId7"/>
    <sheet name="2027年01月" sheetId="6" state="visible" r:id="rId8"/>
    <sheet name="2027年02月" sheetId="7" state="visible" r:id="rId9"/>
    <sheet name="2027年03月" sheetId="8" state="visible" r:id="rId10"/>
    <sheet name="2027年04月" sheetId="9" state="visible" r:id="rId11"/>
    <sheet name="2027年05月" sheetId="10" state="visible" r:id="rId12"/>
    <sheet name="2027年06月" sheetId="11" state="visible" r:id="rId13"/>
    <sheet name="2027年07月" sheetId="12" state="visible" r:id="rId14"/>
    <sheet name="年間集計" sheetId="13" state="visible" r:id="rId15"/>
    <sheet name="設定" sheetId="14" state="visible" r:id="rId16"/>
  </sheets>
  <definedNames>
    <definedName function="false" hidden="false" localSheetId="0" name="_xlnm.Print_Titles" vbProcedure="false">2026年08月!$7:$8</definedName>
    <definedName function="false" hidden="false" localSheetId="1" name="_xlnm.Print_Titles" vbProcedure="false">2026年09月!$7:$8</definedName>
    <definedName function="false" hidden="false" localSheetId="2" name="_xlnm.Print_Titles" vbProcedure="false">2026年10月!$7:$8</definedName>
    <definedName function="false" hidden="false" localSheetId="3" name="_xlnm.Print_Titles" vbProcedure="false">2026年11月!$7:$8</definedName>
    <definedName function="false" hidden="false" localSheetId="4" name="_xlnm.Print_Titles" vbProcedure="false">2026年12月!$7:$8</definedName>
    <definedName function="false" hidden="false" localSheetId="5" name="_xlnm.Print_Titles" vbProcedure="false">2027年01月!$7:$8</definedName>
    <definedName function="false" hidden="false" localSheetId="6" name="_xlnm.Print_Titles" vbProcedure="false">2027年02月!$7:$8</definedName>
    <definedName function="false" hidden="false" localSheetId="7" name="_xlnm.Print_Titles" vbProcedure="false">2027年03月!$7:$8</definedName>
    <definedName function="false" hidden="false" localSheetId="8" name="_xlnm.Print_Titles" vbProcedure="false">2027年04月!$7:$8</definedName>
    <definedName function="false" hidden="false" localSheetId="9" name="_xlnm.Print_Titles" vbProcedure="false">2027年05月!$7:$8</definedName>
    <definedName function="false" hidden="false" localSheetId="10" name="_xlnm.Print_Titles" vbProcedure="false">2027年06月!$7:$8</definedName>
    <definedName function="false" hidden="false" localSheetId="11" name="_xlnm.Print_Titles" vbProcedure="false">2027年07月!$7:$8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WenQuanYi Zen Hei"/>
            <family val="2"/>
          </rPr>
          <t xml:space="preserve">見出しの </t>
        </r>
        <r>
          <rPr>
            <sz val="10"/>
            <rFont val="Arial"/>
            <family val="2"/>
          </rPr>
          <t xml:space="preserve">A / B </t>
        </r>
        <r>
          <rPr>
            <sz val="10"/>
            <rFont val="WenQuanYi Zen Hei"/>
            <family val="2"/>
          </rPr>
          <t xml:space="preserve">は「設定」シートの従業員名に対応します（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WenQuanYi Zen Hei"/>
            <family val="2"/>
          </rPr>
          <t xml:space="preserve">＝上、</t>
        </r>
        <r>
          <rPr>
            <sz val="10"/>
            <rFont val="Arial"/>
            <family val="2"/>
          </rPr>
          <t xml:space="preserve">B</t>
        </r>
        <r>
          <rPr>
            <sz val="10"/>
            <rFont val="WenQuanYi Zen Hei"/>
            <family val="2"/>
          </rPr>
          <t xml:space="preserve">＝下）。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WenQuanYi Zen Hei"/>
            <family val="2"/>
          </rPr>
          <t xml:space="preserve">各月シートの左側の表（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WenQuanYi Zen Hei"/>
            <family val="2"/>
          </rPr>
          <t xml:space="preserve">〜</t>
        </r>
        <r>
          <rPr>
            <sz val="10"/>
            <rFont val="Arial"/>
            <family val="2"/>
          </rPr>
          <t xml:space="preserve">H</t>
        </r>
        <r>
          <rPr>
            <sz val="10"/>
            <rFont val="WenQuanYi Zen Hei"/>
            <family val="2"/>
          </rPr>
          <t xml:space="preserve">列）の見出しになります。</t>
        </r>
      </text>
    </comment>
    <comment ref="B6" authorId="0">
      <text>
        <r>
          <rPr>
            <sz val="10"/>
            <rFont val="WenQuanYi Zen Hei"/>
            <family val="2"/>
          </rPr>
          <t xml:space="preserve">各月シートの右側の表（</t>
        </r>
        <r>
          <rPr>
            <sz val="10"/>
            <rFont val="Arial"/>
            <family val="2"/>
          </rPr>
          <t xml:space="preserve">J</t>
        </r>
        <r>
          <rPr>
            <sz val="10"/>
            <rFont val="WenQuanYi Zen Hei"/>
            <family val="2"/>
          </rPr>
          <t xml:space="preserve">〜</t>
        </r>
        <r>
          <rPr>
            <sz val="10"/>
            <rFont val="Arial"/>
            <family val="2"/>
          </rPr>
          <t xml:space="preserve">Q</t>
        </r>
        <r>
          <rPr>
            <sz val="10"/>
            <rFont val="WenQuanYi Zen Hei"/>
            <family val="2"/>
          </rPr>
          <t xml:space="preserve">列）の見出しになります。</t>
        </r>
      </text>
    </comment>
  </commentList>
</comments>
</file>

<file path=xl/sharedStrings.xml><?xml version="1.0" encoding="utf-8"?>
<sst xmlns="http://schemas.openxmlformats.org/spreadsheetml/2006/main" count="463" uniqueCount="90">
  <si>
    <r>
      <rPr>
        <b val="true"/>
        <sz val="14"/>
        <color rgb="FF1F3864"/>
        <rFont val="Meiryo"/>
        <family val="0"/>
        <charset val="1"/>
      </rPr>
      <t xml:space="preserve">2026</t>
    </r>
    <r>
      <rPr>
        <b val="true"/>
        <sz val="14"/>
        <color rgb="FF1F3864"/>
        <rFont val="WenQuanYi Zen Hei"/>
        <family val="2"/>
      </rPr>
      <t xml:space="preserve">年</t>
    </r>
    <r>
      <rPr>
        <b val="true"/>
        <sz val="14"/>
        <color rgb="FF1F3864"/>
        <rFont val="Meiryo"/>
        <family val="0"/>
        <charset val="1"/>
      </rPr>
      <t xml:space="preserve">8</t>
    </r>
    <r>
      <rPr>
        <b val="true"/>
        <sz val="14"/>
        <color rgb="FF1F3864"/>
        <rFont val="WenQuanYi Zen Hei"/>
        <family val="2"/>
      </rPr>
      <t xml:space="preserve">月　トレカ事業　従業員 仕入れ・交通費 管理表</t>
    </r>
  </si>
  <si>
    <t xml:space="preserve">【凡例】黄色セル＝手入力（青字） ／ グレー・色付きセル＝自動計算（編集しないでください）</t>
  </si>
  <si>
    <r>
      <rPr>
        <sz val="9"/>
        <color rgb="FF555555"/>
        <rFont val="WenQuanYi Zen Hei"/>
        <family val="2"/>
      </rPr>
      <t xml:space="preserve">【構成】左（</t>
    </r>
    <r>
      <rPr>
        <sz val="9"/>
        <color rgb="FF555555"/>
        <rFont val="Meiryo"/>
        <family val="0"/>
        <charset val="1"/>
      </rPr>
      <t xml:space="preserve">A</t>
    </r>
    <r>
      <rPr>
        <sz val="9"/>
        <color rgb="FF555555"/>
        <rFont val="WenQuanYi Zen Hei"/>
        <family val="2"/>
      </rPr>
      <t xml:space="preserve">〜</t>
    </r>
    <r>
      <rPr>
        <sz val="9"/>
        <color rgb="FF555555"/>
        <rFont val="Meiryo"/>
        <family val="0"/>
        <charset val="1"/>
      </rPr>
      <t xml:space="preserve">H</t>
    </r>
    <r>
      <rPr>
        <sz val="9"/>
        <color rgb="FF555555"/>
        <rFont val="WenQuanYi Zen Hei"/>
        <family val="2"/>
      </rPr>
      <t xml:space="preserve">列）が従業員</t>
    </r>
    <r>
      <rPr>
        <sz val="9"/>
        <color rgb="FF555555"/>
        <rFont val="Meiryo"/>
        <family val="0"/>
        <charset val="1"/>
      </rPr>
      <t xml:space="preserve">A</t>
    </r>
    <r>
      <rPr>
        <sz val="9"/>
        <color rgb="FF555555"/>
        <rFont val="WenQuanYi Zen Hei"/>
        <family val="2"/>
      </rPr>
      <t xml:space="preserve">、右（</t>
    </r>
    <r>
      <rPr>
        <sz val="9"/>
        <color rgb="FF555555"/>
        <rFont val="Meiryo"/>
        <family val="0"/>
        <charset val="1"/>
      </rPr>
      <t xml:space="preserve">J</t>
    </r>
    <r>
      <rPr>
        <sz val="9"/>
        <color rgb="FF555555"/>
        <rFont val="WenQuanYi Zen Hei"/>
        <family val="2"/>
      </rPr>
      <t xml:space="preserve">〜</t>
    </r>
    <r>
      <rPr>
        <sz val="9"/>
        <color rgb="FF555555"/>
        <rFont val="Meiryo"/>
        <family val="0"/>
        <charset val="1"/>
      </rPr>
      <t xml:space="preserve">Q</t>
    </r>
    <r>
      <rPr>
        <sz val="9"/>
        <color rgb="FF555555"/>
        <rFont val="WenQuanYi Zen Hei"/>
        <family val="2"/>
      </rPr>
      <t xml:space="preserve">列）が従業員</t>
    </r>
    <r>
      <rPr>
        <sz val="9"/>
        <color rgb="FF555555"/>
        <rFont val="Meiryo"/>
        <family val="0"/>
        <charset val="1"/>
      </rPr>
      <t xml:space="preserve">B</t>
    </r>
    <r>
      <rPr>
        <sz val="9"/>
        <color rgb="FF555555"/>
        <rFont val="WenQuanYi Zen Hei"/>
        <family val="2"/>
      </rPr>
      <t xml:space="preserve">の独立した表です。月ごとにシートが分かれています。</t>
    </r>
  </si>
  <si>
    <r>
      <rPr>
        <sz val="9"/>
        <color rgb="FF555555"/>
        <rFont val="WenQuanYi Zen Hei"/>
        <family val="2"/>
      </rPr>
      <t xml:space="preserve">【交通費】</t>
    </r>
    <r>
      <rPr>
        <sz val="9"/>
        <color rgb="FF555555"/>
        <rFont val="Meiryo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行に</t>
    </r>
    <r>
      <rPr>
        <sz val="9"/>
        <color rgb="FF555555"/>
        <rFont val="Meiryo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区間を入力します。同じ日に移動区間が複数ある場合は行を増やし、日付を再入力して区間と交通費だけを記入してください（仕入れ金額はその日の</t>
    </r>
    <r>
      <rPr>
        <sz val="9"/>
        <color rgb="FF555555"/>
        <rFont val="Meiryo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行目のみ）。行が足りないときは表の途中（最終行の</t>
    </r>
    <r>
      <rPr>
        <sz val="9"/>
        <color rgb="FF555555"/>
        <rFont val="Meiryo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つ上まで）で行を挿入すると、小計の範囲も自動で広がります。</t>
    </r>
  </si>
  <si>
    <t xml:space="preserve">【立替】従業員が自分で支払った行に「○」を入力してください。その行の仕入れ合計金額＋交通費が「立替精算額（返金額）」に集計されます。</t>
  </si>
  <si>
    <t xml:space="preserve">日付</t>
  </si>
  <si>
    <t xml:space="preserve">仕入れ店舗</t>
  </si>
  <si>
    <t xml:space="preserve">仕入れ合計金額（円）</t>
  </si>
  <si>
    <t xml:space="preserve">支払方法</t>
  </si>
  <si>
    <r>
      <rPr>
        <b val="true"/>
        <sz val="10"/>
        <color rgb="FFFFFFFF"/>
        <rFont val="WenQuanYi Zen Hei"/>
        <family val="2"/>
      </rPr>
      <t xml:space="preserve">立替
</t>
    </r>
    <r>
      <rPr>
        <b val="true"/>
        <sz val="10"/>
        <color rgb="FFFFFFFF"/>
        <rFont val="Meiryo"/>
        <family val="0"/>
        <charset val="1"/>
      </rPr>
      <t xml:space="preserve">(○)</t>
    </r>
  </si>
  <si>
    <r>
      <rPr>
        <b val="true"/>
        <sz val="10"/>
        <color rgb="FFFFFFFF"/>
        <rFont val="WenQuanYi Zen Hei"/>
        <family val="2"/>
      </rPr>
      <t xml:space="preserve">移動区間
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出発</t>
    </r>
    <r>
      <rPr>
        <b val="true"/>
        <sz val="10"/>
        <color rgb="FFFFFFFF"/>
        <rFont val="Meiryo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</si>
  <si>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移動区間
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到着</t>
    </r>
    <r>
      <rPr>
        <b val="true"/>
        <sz val="10"/>
        <color rgb="FFFFFFFF"/>
        <rFont val="Meiryo"/>
        <family val="0"/>
        <charset val="1"/>
      </rPr>
      <t xml:space="preserve">)</t>
    </r>
  </si>
  <si>
    <t xml:space="preserve">交通費（円）</t>
  </si>
  <si>
    <t xml:space="preserve">カードショップ〇〇 秋葉原店</t>
  </si>
  <si>
    <t xml:space="preserve">現金</t>
  </si>
  <si>
    <t xml:space="preserve">○</t>
  </si>
  <si>
    <t xml:space="preserve">自宅</t>
  </si>
  <si>
    <t xml:space="preserve">秋葉原</t>
  </si>
  <si>
    <t xml:space="preserve">リサイクルショップ△△ 大宮店</t>
  </si>
  <si>
    <t xml:space="preserve">クレジットカード</t>
  </si>
  <si>
    <t xml:space="preserve">大宮</t>
  </si>
  <si>
    <t xml:space="preserve">中野</t>
  </si>
  <si>
    <t xml:space="preserve">小計</t>
  </si>
  <si>
    <t xml:space="preserve">↑ 上の色付きの行は記入例です。ご利用前に内容を削除してください。</t>
  </si>
  <si>
    <t xml:space="preserve">共通経費（送料・その他経費）　※従業員個人に紐づかない経費</t>
  </si>
  <si>
    <t xml:space="preserve">当月サマリー</t>
  </si>
  <si>
    <t xml:space="preserve">区分</t>
  </si>
  <si>
    <t xml:space="preserve">内容</t>
  </si>
  <si>
    <t xml:space="preserve">金額（円）</t>
  </si>
  <si>
    <t xml:space="preserve">項目</t>
  </si>
  <si>
    <t xml:space="preserve">送料</t>
  </si>
  <si>
    <r>
      <rPr>
        <i val="true"/>
        <sz val="10"/>
        <color rgb="FF7F7F7F"/>
        <rFont val="WenQuanYi Zen Hei"/>
        <family val="2"/>
      </rPr>
      <t xml:space="preserve">メルカリ発送（ゆうパケットプラス）</t>
    </r>
    <r>
      <rPr>
        <i val="true"/>
        <sz val="10"/>
        <color rgb="FF7F7F7F"/>
        <rFont val="Meiryo"/>
        <family val="0"/>
        <charset val="1"/>
      </rPr>
      <t xml:space="preserve">×5</t>
    </r>
    <r>
      <rPr>
        <i val="true"/>
        <sz val="10"/>
        <color rgb="FF7F7F7F"/>
        <rFont val="WenQuanYi Zen Hei"/>
        <family val="2"/>
      </rPr>
      <t xml:space="preserve">件</t>
    </r>
  </si>
  <si>
    <t xml:space="preserve">その他経費</t>
  </si>
  <si>
    <t xml:space="preserve">スリーブ・ローダー購入</t>
  </si>
  <si>
    <t xml:space="preserve">共通経費 小計</t>
  </si>
  <si>
    <t xml:space="preserve">当月 総支出</t>
  </si>
  <si>
    <r>
      <rPr>
        <b val="true"/>
        <sz val="14"/>
        <color rgb="FF1F3864"/>
        <rFont val="Meiryo"/>
        <family val="0"/>
        <charset val="1"/>
      </rPr>
      <t xml:space="preserve">2026</t>
    </r>
    <r>
      <rPr>
        <b val="true"/>
        <sz val="14"/>
        <color rgb="FF1F3864"/>
        <rFont val="WenQuanYi Zen Hei"/>
        <family val="2"/>
      </rPr>
      <t xml:space="preserve">年</t>
    </r>
    <r>
      <rPr>
        <b val="true"/>
        <sz val="14"/>
        <color rgb="FF1F3864"/>
        <rFont val="Meiryo"/>
        <family val="0"/>
        <charset val="1"/>
      </rPr>
      <t xml:space="preserve">9</t>
    </r>
    <r>
      <rPr>
        <b val="true"/>
        <sz val="14"/>
        <color rgb="FF1F3864"/>
        <rFont val="WenQuanYi Zen Hei"/>
        <family val="2"/>
      </rPr>
      <t xml:space="preserve">月　トレカ事業　従業員 仕入れ・交通費 管理表</t>
    </r>
  </si>
  <si>
    <r>
      <rPr>
        <b val="true"/>
        <sz val="14"/>
        <color rgb="FF1F3864"/>
        <rFont val="Meiryo"/>
        <family val="0"/>
        <charset val="1"/>
      </rPr>
      <t xml:space="preserve">2026</t>
    </r>
    <r>
      <rPr>
        <b val="true"/>
        <sz val="14"/>
        <color rgb="FF1F3864"/>
        <rFont val="WenQuanYi Zen Hei"/>
        <family val="2"/>
      </rPr>
      <t xml:space="preserve">年</t>
    </r>
    <r>
      <rPr>
        <b val="true"/>
        <sz val="14"/>
        <color rgb="FF1F3864"/>
        <rFont val="Meiryo"/>
        <family val="0"/>
        <charset val="1"/>
      </rPr>
      <t xml:space="preserve">10</t>
    </r>
    <r>
      <rPr>
        <b val="true"/>
        <sz val="14"/>
        <color rgb="FF1F3864"/>
        <rFont val="WenQuanYi Zen Hei"/>
        <family val="2"/>
      </rPr>
      <t xml:space="preserve">月　トレカ事業　従業員 仕入れ・交通費 管理表</t>
    </r>
  </si>
  <si>
    <r>
      <rPr>
        <b val="true"/>
        <sz val="14"/>
        <color rgb="FF1F3864"/>
        <rFont val="Meiryo"/>
        <family val="0"/>
        <charset val="1"/>
      </rPr>
      <t xml:space="preserve">2026</t>
    </r>
    <r>
      <rPr>
        <b val="true"/>
        <sz val="14"/>
        <color rgb="FF1F3864"/>
        <rFont val="WenQuanYi Zen Hei"/>
        <family val="2"/>
      </rPr>
      <t xml:space="preserve">年</t>
    </r>
    <r>
      <rPr>
        <b val="true"/>
        <sz val="14"/>
        <color rgb="FF1F3864"/>
        <rFont val="Meiryo"/>
        <family val="0"/>
        <charset val="1"/>
      </rPr>
      <t xml:space="preserve">11</t>
    </r>
    <r>
      <rPr>
        <b val="true"/>
        <sz val="14"/>
        <color rgb="FF1F3864"/>
        <rFont val="WenQuanYi Zen Hei"/>
        <family val="2"/>
      </rPr>
      <t xml:space="preserve">月　トレカ事業　従業員 仕入れ・交通費 管理表</t>
    </r>
  </si>
  <si>
    <r>
      <rPr>
        <b val="true"/>
        <sz val="14"/>
        <color rgb="FF1F3864"/>
        <rFont val="Meiryo"/>
        <family val="0"/>
        <charset val="1"/>
      </rPr>
      <t xml:space="preserve">2026</t>
    </r>
    <r>
      <rPr>
        <b val="true"/>
        <sz val="14"/>
        <color rgb="FF1F3864"/>
        <rFont val="WenQuanYi Zen Hei"/>
        <family val="2"/>
      </rPr>
      <t xml:space="preserve">年</t>
    </r>
    <r>
      <rPr>
        <b val="true"/>
        <sz val="14"/>
        <color rgb="FF1F3864"/>
        <rFont val="Meiryo"/>
        <family val="0"/>
        <charset val="1"/>
      </rPr>
      <t xml:space="preserve">12</t>
    </r>
    <r>
      <rPr>
        <b val="true"/>
        <sz val="14"/>
        <color rgb="FF1F3864"/>
        <rFont val="WenQuanYi Zen Hei"/>
        <family val="2"/>
      </rPr>
      <t xml:space="preserve">月　トレカ事業　従業員 仕入れ・交通費 管理表</t>
    </r>
  </si>
  <si>
    <r>
      <rPr>
        <b val="true"/>
        <sz val="14"/>
        <color rgb="FF1F3864"/>
        <rFont val="Meiryo"/>
        <family val="0"/>
        <charset val="1"/>
      </rPr>
      <t xml:space="preserve">2027</t>
    </r>
    <r>
      <rPr>
        <b val="true"/>
        <sz val="14"/>
        <color rgb="FF1F3864"/>
        <rFont val="WenQuanYi Zen Hei"/>
        <family val="2"/>
      </rPr>
      <t xml:space="preserve">年</t>
    </r>
    <r>
      <rPr>
        <b val="true"/>
        <sz val="14"/>
        <color rgb="FF1F3864"/>
        <rFont val="Meiryo"/>
        <family val="0"/>
        <charset val="1"/>
      </rPr>
      <t xml:space="preserve">1</t>
    </r>
    <r>
      <rPr>
        <b val="true"/>
        <sz val="14"/>
        <color rgb="FF1F3864"/>
        <rFont val="WenQuanYi Zen Hei"/>
        <family val="2"/>
      </rPr>
      <t xml:space="preserve">月　トレカ事業　従業員 仕入れ・交通費 管理表</t>
    </r>
  </si>
  <si>
    <r>
      <rPr>
        <b val="true"/>
        <sz val="14"/>
        <color rgb="FF1F3864"/>
        <rFont val="Meiryo"/>
        <family val="0"/>
        <charset val="1"/>
      </rPr>
      <t xml:space="preserve">2027</t>
    </r>
    <r>
      <rPr>
        <b val="true"/>
        <sz val="14"/>
        <color rgb="FF1F3864"/>
        <rFont val="WenQuanYi Zen Hei"/>
        <family val="2"/>
      </rPr>
      <t xml:space="preserve">年</t>
    </r>
    <r>
      <rPr>
        <b val="true"/>
        <sz val="14"/>
        <color rgb="FF1F3864"/>
        <rFont val="Meiryo"/>
        <family val="0"/>
        <charset val="1"/>
      </rPr>
      <t xml:space="preserve">2</t>
    </r>
    <r>
      <rPr>
        <b val="true"/>
        <sz val="14"/>
        <color rgb="FF1F3864"/>
        <rFont val="WenQuanYi Zen Hei"/>
        <family val="2"/>
      </rPr>
      <t xml:space="preserve">月　トレカ事業　従業員 仕入れ・交通費 管理表</t>
    </r>
  </si>
  <si>
    <r>
      <rPr>
        <b val="true"/>
        <sz val="14"/>
        <color rgb="FF1F3864"/>
        <rFont val="Meiryo"/>
        <family val="0"/>
        <charset val="1"/>
      </rPr>
      <t xml:space="preserve">2027</t>
    </r>
    <r>
      <rPr>
        <b val="true"/>
        <sz val="14"/>
        <color rgb="FF1F3864"/>
        <rFont val="WenQuanYi Zen Hei"/>
        <family val="2"/>
      </rPr>
      <t xml:space="preserve">年</t>
    </r>
    <r>
      <rPr>
        <b val="true"/>
        <sz val="14"/>
        <color rgb="FF1F3864"/>
        <rFont val="Meiryo"/>
        <family val="0"/>
        <charset val="1"/>
      </rPr>
      <t xml:space="preserve">3</t>
    </r>
    <r>
      <rPr>
        <b val="true"/>
        <sz val="14"/>
        <color rgb="FF1F3864"/>
        <rFont val="WenQuanYi Zen Hei"/>
        <family val="2"/>
      </rPr>
      <t xml:space="preserve">月　トレカ事業　従業員 仕入れ・交通費 管理表</t>
    </r>
  </si>
  <si>
    <r>
      <rPr>
        <b val="true"/>
        <sz val="14"/>
        <color rgb="FF1F3864"/>
        <rFont val="Meiryo"/>
        <family val="0"/>
        <charset val="1"/>
      </rPr>
      <t xml:space="preserve">2027</t>
    </r>
    <r>
      <rPr>
        <b val="true"/>
        <sz val="14"/>
        <color rgb="FF1F3864"/>
        <rFont val="WenQuanYi Zen Hei"/>
        <family val="2"/>
      </rPr>
      <t xml:space="preserve">年</t>
    </r>
    <r>
      <rPr>
        <b val="true"/>
        <sz val="14"/>
        <color rgb="FF1F3864"/>
        <rFont val="Meiryo"/>
        <family val="0"/>
        <charset val="1"/>
      </rPr>
      <t xml:space="preserve">4</t>
    </r>
    <r>
      <rPr>
        <b val="true"/>
        <sz val="14"/>
        <color rgb="FF1F3864"/>
        <rFont val="WenQuanYi Zen Hei"/>
        <family val="2"/>
      </rPr>
      <t xml:space="preserve">月　トレカ事業　従業員 仕入れ・交通費 管理表</t>
    </r>
  </si>
  <si>
    <r>
      <rPr>
        <b val="true"/>
        <sz val="14"/>
        <color rgb="FF1F3864"/>
        <rFont val="Meiryo"/>
        <family val="0"/>
        <charset val="1"/>
      </rPr>
      <t xml:space="preserve">2027</t>
    </r>
    <r>
      <rPr>
        <b val="true"/>
        <sz val="14"/>
        <color rgb="FF1F3864"/>
        <rFont val="WenQuanYi Zen Hei"/>
        <family val="2"/>
      </rPr>
      <t xml:space="preserve">年</t>
    </r>
    <r>
      <rPr>
        <b val="true"/>
        <sz val="14"/>
        <color rgb="FF1F3864"/>
        <rFont val="Meiryo"/>
        <family val="0"/>
        <charset val="1"/>
      </rPr>
      <t xml:space="preserve">5</t>
    </r>
    <r>
      <rPr>
        <b val="true"/>
        <sz val="14"/>
        <color rgb="FF1F3864"/>
        <rFont val="WenQuanYi Zen Hei"/>
        <family val="2"/>
      </rPr>
      <t xml:space="preserve">月　トレカ事業　従業員 仕入れ・交通費 管理表</t>
    </r>
  </si>
  <si>
    <r>
      <rPr>
        <b val="true"/>
        <sz val="14"/>
        <color rgb="FF1F3864"/>
        <rFont val="Meiryo"/>
        <family val="0"/>
        <charset val="1"/>
      </rPr>
      <t xml:space="preserve">2027</t>
    </r>
    <r>
      <rPr>
        <b val="true"/>
        <sz val="14"/>
        <color rgb="FF1F3864"/>
        <rFont val="WenQuanYi Zen Hei"/>
        <family val="2"/>
      </rPr>
      <t xml:space="preserve">年</t>
    </r>
    <r>
      <rPr>
        <b val="true"/>
        <sz val="14"/>
        <color rgb="FF1F3864"/>
        <rFont val="Meiryo"/>
        <family val="0"/>
        <charset val="1"/>
      </rPr>
      <t xml:space="preserve">6</t>
    </r>
    <r>
      <rPr>
        <b val="true"/>
        <sz val="14"/>
        <color rgb="FF1F3864"/>
        <rFont val="WenQuanYi Zen Hei"/>
        <family val="2"/>
      </rPr>
      <t xml:space="preserve">月　トレカ事業　従業員 仕入れ・交通費 管理表</t>
    </r>
  </si>
  <si>
    <r>
      <rPr>
        <b val="true"/>
        <sz val="14"/>
        <color rgb="FF1F3864"/>
        <rFont val="Meiryo"/>
        <family val="0"/>
        <charset val="1"/>
      </rPr>
      <t xml:space="preserve">2027</t>
    </r>
    <r>
      <rPr>
        <b val="true"/>
        <sz val="14"/>
        <color rgb="FF1F3864"/>
        <rFont val="WenQuanYi Zen Hei"/>
        <family val="2"/>
      </rPr>
      <t xml:space="preserve">年</t>
    </r>
    <r>
      <rPr>
        <b val="true"/>
        <sz val="14"/>
        <color rgb="FF1F3864"/>
        <rFont val="Meiryo"/>
        <family val="0"/>
        <charset val="1"/>
      </rPr>
      <t xml:space="preserve">7</t>
    </r>
    <r>
      <rPr>
        <b val="true"/>
        <sz val="14"/>
        <color rgb="FF1F3864"/>
        <rFont val="WenQuanYi Zen Hei"/>
        <family val="2"/>
      </rPr>
      <t xml:space="preserve">月　トレカ事業　従業員 仕入れ・交通費 管理表</t>
    </r>
  </si>
  <si>
    <r>
      <rPr>
        <b val="true"/>
        <sz val="14"/>
        <color rgb="FF1F3864"/>
        <rFont val="WenQuanYi Zen Hei"/>
        <family val="2"/>
      </rPr>
      <t xml:space="preserve">年間集計（</t>
    </r>
    <r>
      <rPr>
        <b val="true"/>
        <sz val="14"/>
        <color rgb="FF1F3864"/>
        <rFont val="Meiryo"/>
        <family val="0"/>
        <charset val="1"/>
      </rPr>
      <t xml:space="preserve">2026</t>
    </r>
    <r>
      <rPr>
        <b val="true"/>
        <sz val="14"/>
        <color rgb="FF1F3864"/>
        <rFont val="WenQuanYi Zen Hei"/>
        <family val="2"/>
      </rPr>
      <t xml:space="preserve">年</t>
    </r>
    <r>
      <rPr>
        <b val="true"/>
        <sz val="14"/>
        <color rgb="FF1F3864"/>
        <rFont val="Meiryo"/>
        <family val="0"/>
        <charset val="1"/>
      </rPr>
      <t xml:space="preserve">08</t>
    </r>
    <r>
      <rPr>
        <b val="true"/>
        <sz val="14"/>
        <color rgb="FF1F3864"/>
        <rFont val="WenQuanYi Zen Hei"/>
        <family val="2"/>
      </rPr>
      <t xml:space="preserve">月〜</t>
    </r>
    <r>
      <rPr>
        <b val="true"/>
        <sz val="14"/>
        <color rgb="FF1F3864"/>
        <rFont val="Meiryo"/>
        <family val="0"/>
        <charset val="1"/>
      </rPr>
      <t xml:space="preserve">2027</t>
    </r>
    <r>
      <rPr>
        <b val="true"/>
        <sz val="14"/>
        <color rgb="FF1F3864"/>
        <rFont val="WenQuanYi Zen Hei"/>
        <family val="2"/>
      </rPr>
      <t xml:space="preserve">年</t>
    </r>
    <r>
      <rPr>
        <b val="true"/>
        <sz val="14"/>
        <color rgb="FF1F3864"/>
        <rFont val="Meiryo"/>
        <family val="0"/>
        <charset val="1"/>
      </rPr>
      <t xml:space="preserve">07</t>
    </r>
    <r>
      <rPr>
        <b val="true"/>
        <sz val="14"/>
        <color rgb="FF1F3864"/>
        <rFont val="WenQuanYi Zen Hei"/>
        <family val="2"/>
      </rPr>
      <t xml:space="preserve">月）</t>
    </r>
  </si>
  <si>
    <t xml:space="preserve">各月シートの「当月サマリー」をそのまま参照しています（このシートに入力欄はありません）。</t>
  </si>
  <si>
    <t xml:space="preserve">月シート</t>
  </si>
  <si>
    <r>
      <rPr>
        <b val="true"/>
        <sz val="10"/>
        <color rgb="FFFFFFFF"/>
        <rFont val="Meiryo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仕入れ</t>
    </r>
  </si>
  <si>
    <r>
      <rPr>
        <b val="true"/>
        <sz val="10"/>
        <color rgb="FFFFFFFF"/>
        <rFont val="Meiryo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交通費</t>
    </r>
  </si>
  <si>
    <r>
      <rPr>
        <b val="true"/>
        <sz val="10"/>
        <color rgb="FFFFFFFF"/>
        <rFont val="Meiryo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立替精算額</t>
    </r>
  </si>
  <si>
    <r>
      <rPr>
        <b val="true"/>
        <sz val="10"/>
        <color rgb="FFFFFFFF"/>
        <rFont val="Meiryo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仕入れ</t>
    </r>
  </si>
  <si>
    <r>
      <rPr>
        <b val="true"/>
        <sz val="10"/>
        <color rgb="FFFFFFFF"/>
        <rFont val="Meiryo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交通費</t>
    </r>
  </si>
  <si>
    <r>
      <rPr>
        <b val="true"/>
        <sz val="10"/>
        <color rgb="FFFFFFFF"/>
        <rFont val="Meiryo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立替精算額</t>
    </r>
  </si>
  <si>
    <t xml:space="preserve">共通 送料</t>
  </si>
  <si>
    <t xml:space="preserve">共通 その他経費</t>
  </si>
  <si>
    <r>
      <rPr>
        <sz val="10"/>
        <color rgb="FF404040"/>
        <rFont val="Meiryo"/>
        <family val="0"/>
        <charset val="1"/>
      </rPr>
      <t xml:space="preserve">2026</t>
    </r>
    <r>
      <rPr>
        <sz val="10"/>
        <color rgb="FF404040"/>
        <rFont val="WenQuanYi Zen Hei"/>
        <family val="2"/>
      </rPr>
      <t xml:space="preserve">年</t>
    </r>
    <r>
      <rPr>
        <sz val="10"/>
        <color rgb="FF404040"/>
        <rFont val="Meiryo"/>
        <family val="0"/>
        <charset val="1"/>
      </rPr>
      <t xml:space="preserve">08</t>
    </r>
    <r>
      <rPr>
        <sz val="10"/>
        <color rgb="FF404040"/>
        <rFont val="WenQuanYi Zen Hei"/>
        <family val="2"/>
      </rPr>
      <t xml:space="preserve">月</t>
    </r>
  </si>
  <si>
    <r>
      <rPr>
        <sz val="10"/>
        <color rgb="FF404040"/>
        <rFont val="Meiryo"/>
        <family val="0"/>
        <charset val="1"/>
      </rPr>
      <t xml:space="preserve">2026</t>
    </r>
    <r>
      <rPr>
        <sz val="10"/>
        <color rgb="FF404040"/>
        <rFont val="WenQuanYi Zen Hei"/>
        <family val="2"/>
      </rPr>
      <t xml:space="preserve">年</t>
    </r>
    <r>
      <rPr>
        <sz val="10"/>
        <color rgb="FF404040"/>
        <rFont val="Meiryo"/>
        <family val="0"/>
        <charset val="1"/>
      </rPr>
      <t xml:space="preserve">09</t>
    </r>
    <r>
      <rPr>
        <sz val="10"/>
        <color rgb="FF404040"/>
        <rFont val="WenQuanYi Zen Hei"/>
        <family val="2"/>
      </rPr>
      <t xml:space="preserve">月</t>
    </r>
  </si>
  <si>
    <r>
      <rPr>
        <sz val="10"/>
        <color rgb="FF404040"/>
        <rFont val="Meiryo"/>
        <family val="0"/>
        <charset val="1"/>
      </rPr>
      <t xml:space="preserve">2026</t>
    </r>
    <r>
      <rPr>
        <sz val="10"/>
        <color rgb="FF404040"/>
        <rFont val="WenQuanYi Zen Hei"/>
        <family val="2"/>
      </rPr>
      <t xml:space="preserve">年</t>
    </r>
    <r>
      <rPr>
        <sz val="10"/>
        <color rgb="FF404040"/>
        <rFont val="Meiryo"/>
        <family val="0"/>
        <charset val="1"/>
      </rPr>
      <t xml:space="preserve">10</t>
    </r>
    <r>
      <rPr>
        <sz val="10"/>
        <color rgb="FF404040"/>
        <rFont val="WenQuanYi Zen Hei"/>
        <family val="2"/>
      </rPr>
      <t xml:space="preserve">月</t>
    </r>
  </si>
  <si>
    <r>
      <rPr>
        <sz val="10"/>
        <color rgb="FF404040"/>
        <rFont val="Meiryo"/>
        <family val="0"/>
        <charset val="1"/>
      </rPr>
      <t xml:space="preserve">2026</t>
    </r>
    <r>
      <rPr>
        <sz val="10"/>
        <color rgb="FF404040"/>
        <rFont val="WenQuanYi Zen Hei"/>
        <family val="2"/>
      </rPr>
      <t xml:space="preserve">年</t>
    </r>
    <r>
      <rPr>
        <sz val="10"/>
        <color rgb="FF404040"/>
        <rFont val="Meiryo"/>
        <family val="0"/>
        <charset val="1"/>
      </rPr>
      <t xml:space="preserve">11</t>
    </r>
    <r>
      <rPr>
        <sz val="10"/>
        <color rgb="FF404040"/>
        <rFont val="WenQuanYi Zen Hei"/>
        <family val="2"/>
      </rPr>
      <t xml:space="preserve">月</t>
    </r>
  </si>
  <si>
    <r>
      <rPr>
        <sz val="10"/>
        <color rgb="FF404040"/>
        <rFont val="Meiryo"/>
        <family val="0"/>
        <charset val="1"/>
      </rPr>
      <t xml:space="preserve">2026</t>
    </r>
    <r>
      <rPr>
        <sz val="10"/>
        <color rgb="FF404040"/>
        <rFont val="WenQuanYi Zen Hei"/>
        <family val="2"/>
      </rPr>
      <t xml:space="preserve">年</t>
    </r>
    <r>
      <rPr>
        <sz val="10"/>
        <color rgb="FF404040"/>
        <rFont val="Meiryo"/>
        <family val="0"/>
        <charset val="1"/>
      </rPr>
      <t xml:space="preserve">12</t>
    </r>
    <r>
      <rPr>
        <sz val="10"/>
        <color rgb="FF404040"/>
        <rFont val="WenQuanYi Zen Hei"/>
        <family val="2"/>
      </rPr>
      <t xml:space="preserve">月</t>
    </r>
  </si>
  <si>
    <r>
      <rPr>
        <sz val="10"/>
        <color rgb="FF404040"/>
        <rFont val="Meiryo"/>
        <family val="0"/>
        <charset val="1"/>
      </rPr>
      <t xml:space="preserve">2027</t>
    </r>
    <r>
      <rPr>
        <sz val="10"/>
        <color rgb="FF404040"/>
        <rFont val="WenQuanYi Zen Hei"/>
        <family val="2"/>
      </rPr>
      <t xml:space="preserve">年</t>
    </r>
    <r>
      <rPr>
        <sz val="10"/>
        <color rgb="FF404040"/>
        <rFont val="Meiryo"/>
        <family val="0"/>
        <charset val="1"/>
      </rPr>
      <t xml:space="preserve">01</t>
    </r>
    <r>
      <rPr>
        <sz val="10"/>
        <color rgb="FF404040"/>
        <rFont val="WenQuanYi Zen Hei"/>
        <family val="2"/>
      </rPr>
      <t xml:space="preserve">月</t>
    </r>
  </si>
  <si>
    <r>
      <rPr>
        <sz val="10"/>
        <color rgb="FF404040"/>
        <rFont val="Meiryo"/>
        <family val="0"/>
        <charset val="1"/>
      </rPr>
      <t xml:space="preserve">2027</t>
    </r>
    <r>
      <rPr>
        <sz val="10"/>
        <color rgb="FF404040"/>
        <rFont val="WenQuanYi Zen Hei"/>
        <family val="2"/>
      </rPr>
      <t xml:space="preserve">年</t>
    </r>
    <r>
      <rPr>
        <sz val="10"/>
        <color rgb="FF404040"/>
        <rFont val="Meiryo"/>
        <family val="0"/>
        <charset val="1"/>
      </rPr>
      <t xml:space="preserve">02</t>
    </r>
    <r>
      <rPr>
        <sz val="10"/>
        <color rgb="FF404040"/>
        <rFont val="WenQuanYi Zen Hei"/>
        <family val="2"/>
      </rPr>
      <t xml:space="preserve">月</t>
    </r>
  </si>
  <si>
    <r>
      <rPr>
        <sz val="10"/>
        <color rgb="FF404040"/>
        <rFont val="Meiryo"/>
        <family val="0"/>
        <charset val="1"/>
      </rPr>
      <t xml:space="preserve">2027</t>
    </r>
    <r>
      <rPr>
        <sz val="10"/>
        <color rgb="FF404040"/>
        <rFont val="WenQuanYi Zen Hei"/>
        <family val="2"/>
      </rPr>
      <t xml:space="preserve">年</t>
    </r>
    <r>
      <rPr>
        <sz val="10"/>
        <color rgb="FF404040"/>
        <rFont val="Meiryo"/>
        <family val="0"/>
        <charset val="1"/>
      </rPr>
      <t xml:space="preserve">03</t>
    </r>
    <r>
      <rPr>
        <sz val="10"/>
        <color rgb="FF404040"/>
        <rFont val="WenQuanYi Zen Hei"/>
        <family val="2"/>
      </rPr>
      <t xml:space="preserve">月</t>
    </r>
  </si>
  <si>
    <r>
      <rPr>
        <sz val="10"/>
        <color rgb="FF404040"/>
        <rFont val="Meiryo"/>
        <family val="0"/>
        <charset val="1"/>
      </rPr>
      <t xml:space="preserve">2027</t>
    </r>
    <r>
      <rPr>
        <sz val="10"/>
        <color rgb="FF404040"/>
        <rFont val="WenQuanYi Zen Hei"/>
        <family val="2"/>
      </rPr>
      <t xml:space="preserve">年</t>
    </r>
    <r>
      <rPr>
        <sz val="10"/>
        <color rgb="FF404040"/>
        <rFont val="Meiryo"/>
        <family val="0"/>
        <charset val="1"/>
      </rPr>
      <t xml:space="preserve">04</t>
    </r>
    <r>
      <rPr>
        <sz val="10"/>
        <color rgb="FF404040"/>
        <rFont val="WenQuanYi Zen Hei"/>
        <family val="2"/>
      </rPr>
      <t xml:space="preserve">月</t>
    </r>
  </si>
  <si>
    <r>
      <rPr>
        <sz val="10"/>
        <color rgb="FF404040"/>
        <rFont val="Meiryo"/>
        <family val="0"/>
        <charset val="1"/>
      </rPr>
      <t xml:space="preserve">2027</t>
    </r>
    <r>
      <rPr>
        <sz val="10"/>
        <color rgb="FF404040"/>
        <rFont val="WenQuanYi Zen Hei"/>
        <family val="2"/>
      </rPr>
      <t xml:space="preserve">年</t>
    </r>
    <r>
      <rPr>
        <sz val="10"/>
        <color rgb="FF404040"/>
        <rFont val="Meiryo"/>
        <family val="0"/>
        <charset val="1"/>
      </rPr>
      <t xml:space="preserve">05</t>
    </r>
    <r>
      <rPr>
        <sz val="10"/>
        <color rgb="FF404040"/>
        <rFont val="WenQuanYi Zen Hei"/>
        <family val="2"/>
      </rPr>
      <t xml:space="preserve">月</t>
    </r>
  </si>
  <si>
    <r>
      <rPr>
        <sz val="10"/>
        <color rgb="FF404040"/>
        <rFont val="Meiryo"/>
        <family val="0"/>
        <charset val="1"/>
      </rPr>
      <t xml:space="preserve">2027</t>
    </r>
    <r>
      <rPr>
        <sz val="10"/>
        <color rgb="FF404040"/>
        <rFont val="WenQuanYi Zen Hei"/>
        <family val="2"/>
      </rPr>
      <t xml:space="preserve">年</t>
    </r>
    <r>
      <rPr>
        <sz val="10"/>
        <color rgb="FF404040"/>
        <rFont val="Meiryo"/>
        <family val="0"/>
        <charset val="1"/>
      </rPr>
      <t xml:space="preserve">06</t>
    </r>
    <r>
      <rPr>
        <sz val="10"/>
        <color rgb="FF404040"/>
        <rFont val="WenQuanYi Zen Hei"/>
        <family val="2"/>
      </rPr>
      <t xml:space="preserve">月</t>
    </r>
  </si>
  <si>
    <r>
      <rPr>
        <sz val="10"/>
        <color rgb="FF404040"/>
        <rFont val="Meiryo"/>
        <family val="0"/>
        <charset val="1"/>
      </rPr>
      <t xml:space="preserve">2027</t>
    </r>
    <r>
      <rPr>
        <sz val="10"/>
        <color rgb="FF404040"/>
        <rFont val="WenQuanYi Zen Hei"/>
        <family val="2"/>
      </rPr>
      <t xml:space="preserve">年</t>
    </r>
    <r>
      <rPr>
        <sz val="10"/>
        <color rgb="FF404040"/>
        <rFont val="Meiryo"/>
        <family val="0"/>
        <charset val="1"/>
      </rPr>
      <t xml:space="preserve">07</t>
    </r>
    <r>
      <rPr>
        <sz val="10"/>
        <color rgb="FF404040"/>
        <rFont val="WenQuanYi Zen Hei"/>
        <family val="2"/>
      </rPr>
      <t xml:space="preserve">月</t>
    </r>
  </si>
  <si>
    <t xml:space="preserve">年間合計</t>
  </si>
  <si>
    <t xml:space="preserve">※「立替精算額（返金額）」＝立替欄に○が付いた行の 仕入れ合計金額＋交通費。従業員へ返金する金額です。</t>
  </si>
  <si>
    <t xml:space="preserve">※「当月 総支出」＝両名の 仕入れ＋交通費 ＋ 共通経費（送料・その他経費）。支払方法や立替の有無は問いません。</t>
  </si>
  <si>
    <r>
      <rPr>
        <b val="true"/>
        <sz val="14"/>
        <color rgb="FF1F3864"/>
        <rFont val="WenQuanYi Zen Hei"/>
        <family val="2"/>
      </rPr>
      <t xml:space="preserve">設定</t>
    </r>
    <r>
      <rPr>
        <b val="true"/>
        <sz val="14"/>
        <color rgb="FF1F3864"/>
        <rFont val="Meiryo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マスタ</t>
    </r>
    <r>
      <rPr>
        <b val="true"/>
        <sz val="14"/>
        <color rgb="FF1F3864"/>
        <rFont val="Meiryo"/>
        <family val="0"/>
        <charset val="1"/>
      </rPr>
      <t xml:space="preserve">)</t>
    </r>
  </si>
  <si>
    <t xml:space="preserve">ここを書き換えると、各月シートの見出しやプルダウンに反映されます。</t>
  </si>
  <si>
    <t xml:space="preserve">従業員名</t>
  </si>
  <si>
    <t xml:space="preserve">経費区分</t>
  </si>
  <si>
    <t xml:space="preserve">立替</t>
  </si>
  <si>
    <r>
      <rPr>
        <sz val="10"/>
        <color rgb="FF0000FF"/>
        <rFont val="WenQuanYi Zen Hei"/>
        <family val="2"/>
      </rPr>
      <t xml:space="preserve">従業員</t>
    </r>
    <r>
      <rPr>
        <sz val="10"/>
        <color rgb="FF0000FF"/>
        <rFont val="Meiryo"/>
        <family val="0"/>
        <charset val="1"/>
      </rPr>
      <t xml:space="preserve">A</t>
    </r>
  </si>
  <si>
    <r>
      <rPr>
        <sz val="10"/>
        <color rgb="FF0000FF"/>
        <rFont val="WenQuanYi Zen Hei"/>
        <family val="2"/>
      </rPr>
      <t xml:space="preserve">従業員</t>
    </r>
    <r>
      <rPr>
        <sz val="10"/>
        <color rgb="FF0000FF"/>
        <rFont val="Meiryo"/>
        <family val="0"/>
        <charset val="1"/>
      </rPr>
      <t xml:space="preserve">B</t>
    </r>
  </si>
  <si>
    <t xml:space="preserve">電子マネー</t>
  </si>
  <si>
    <r>
      <rPr>
        <sz val="10"/>
        <color rgb="FF0000FF"/>
        <rFont val="Meiryo"/>
        <family val="0"/>
        <charset val="1"/>
      </rPr>
      <t xml:space="preserve">QR</t>
    </r>
    <r>
      <rPr>
        <sz val="10"/>
        <color rgb="FF0000FF"/>
        <rFont val="WenQuanYi Zen Hei"/>
        <family val="2"/>
      </rPr>
      <t xml:space="preserve">コード決済</t>
    </r>
  </si>
  <si>
    <t xml:space="preserve">銀行振込</t>
  </si>
  <si>
    <t xml:space="preserve">その他</t>
  </si>
  <si>
    <t xml:space="preserve">対象期間</t>
  </si>
  <si>
    <r>
      <rPr>
        <sz val="10"/>
        <color rgb="FF404040"/>
        <rFont val="Meiryo"/>
        <family val="0"/>
        <charset val="1"/>
      </rPr>
      <t xml:space="preserve">2026</t>
    </r>
    <r>
      <rPr>
        <sz val="10"/>
        <color rgb="FF404040"/>
        <rFont val="WenQuanYi Zen Hei"/>
        <family val="2"/>
      </rPr>
      <t xml:space="preserve">年</t>
    </r>
    <r>
      <rPr>
        <sz val="10"/>
        <color rgb="FF404040"/>
        <rFont val="Meiryo"/>
        <family val="0"/>
        <charset val="1"/>
      </rPr>
      <t xml:space="preserve">08</t>
    </r>
    <r>
      <rPr>
        <sz val="10"/>
        <color rgb="FF404040"/>
        <rFont val="WenQuanYi Zen Hei"/>
        <family val="2"/>
      </rPr>
      <t xml:space="preserve">月 〜 </t>
    </r>
    <r>
      <rPr>
        <sz val="10"/>
        <color rgb="FF404040"/>
        <rFont val="Meiryo"/>
        <family val="0"/>
        <charset val="1"/>
      </rPr>
      <t xml:space="preserve">2027</t>
    </r>
    <r>
      <rPr>
        <sz val="10"/>
        <color rgb="FF404040"/>
        <rFont val="WenQuanYi Zen Hei"/>
        <family val="2"/>
      </rPr>
      <t xml:space="preserve">年</t>
    </r>
    <r>
      <rPr>
        <sz val="10"/>
        <color rgb="FF404040"/>
        <rFont val="Meiryo"/>
        <family val="0"/>
        <charset val="1"/>
      </rPr>
      <t xml:space="preserve">07</t>
    </r>
    <r>
      <rPr>
        <sz val="10"/>
        <color rgb="FF404040"/>
        <rFont val="WenQuanYi Zen Hei"/>
        <family val="2"/>
      </rPr>
      <t xml:space="preserve">月（月シート </t>
    </r>
    <r>
      <rPr>
        <sz val="10"/>
        <color rgb="FF404040"/>
        <rFont val="Meiryo"/>
        <family val="0"/>
        <charset val="1"/>
      </rPr>
      <t xml:space="preserve">12 </t>
    </r>
    <r>
      <rPr>
        <sz val="10"/>
        <color rgb="FF404040"/>
        <rFont val="WenQuanYi Zen Hei"/>
        <family val="2"/>
      </rPr>
      <t xml:space="preserve">枚）</t>
    </r>
  </si>
  <si>
    <t xml:space="preserve">※従業員名を変更すると、各月シートと年間集計の見出しも自動で変わります。</t>
  </si>
  <si>
    <t xml:space="preserve">※期間を延長したいときは、最後の月シートを右クリック→「移動またはコピー」でコピーし、シート名を翌月に変更してください（数式はそのシート内で完結しています）。</t>
  </si>
  <si>
    <t xml:space="preserve">※月シートを増やした場合は、「年間集計」シートにも行を追加して同じ形で参照してください。</t>
  </si>
  <si>
    <r>
      <rPr>
        <sz val="9"/>
        <color rgb="FF555555"/>
        <rFont val="WenQuanYi Zen Hei"/>
        <family val="2"/>
      </rPr>
      <t xml:space="preserve">※従業員が</t>
    </r>
    <r>
      <rPr>
        <sz val="9"/>
        <color rgb="FF555555"/>
        <rFont val="Meiryo"/>
        <family val="0"/>
        <charset val="1"/>
      </rPr>
      <t xml:space="preserve">3</t>
    </r>
    <r>
      <rPr>
        <sz val="9"/>
        <color rgb="FF555555"/>
        <rFont val="WenQuanYi Zen Hei"/>
        <family val="2"/>
      </rPr>
      <t xml:space="preserve">人以上になる場合は表の追加が必要です（このスクリプトを修正してください）。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</si>
</sst>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/mm/dd"/>
    <numFmt numFmtId="166" formatCode="#,##0;\-#,##0;\-"/>
  </numFmts>
  <fonts count="23">
    <font>
      <sz val="11"/>
      <color theme="1"/>
      <name val="Meiryo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Meiryo"/>
      <family val="0"/>
      <charset val="1"/>
    </font>
    <font>
      <b val="true"/>
      <sz val="14"/>
      <color rgb="FF1F3864"/>
      <name val="Meiryo"/>
      <family val="2"/>
    </font>
    <font>
      <sz val="11"/>
      <color theme="1"/>
      <name val="Meiryo"/>
      <family val="0"/>
      <charset val="1"/>
    </font>
    <font>
      <sz val="9"/>
      <color rgb="FF555555"/>
      <name val="Meiryo"/>
      <family val="2"/>
    </font>
    <font>
      <sz val="9"/>
      <color rgb="FF555555"/>
      <name val="Meiryo"/>
      <family val="0"/>
      <charset val="1"/>
    </font>
    <font>
      <b val="true"/>
      <sz val="10"/>
      <color rgb="FFFFFFFF"/>
      <name val="Meiryo"/>
      <family val="2"/>
    </font>
    <font>
      <b val="true"/>
      <sz val="10"/>
      <color rgb="FFFFFFFF"/>
      <name val="Meiryo"/>
      <family val="0"/>
      <charset val="1"/>
    </font>
    <font>
      <i val="true"/>
      <sz val="10"/>
      <color rgb="FF7F7F7F"/>
      <name val="Meiryo"/>
      <family val="0"/>
      <charset val="1"/>
    </font>
    <font>
      <i val="true"/>
      <sz val="10"/>
      <color rgb="FF7F7F7F"/>
      <name val="Meiryo"/>
      <family val="2"/>
    </font>
    <font>
      <sz val="10"/>
      <color rgb="FF0000FF"/>
      <name val="Meiryo"/>
      <family val="0"/>
      <charset val="1"/>
    </font>
    <font>
      <b val="true"/>
      <sz val="10"/>
      <name val="Meiryo"/>
      <family val="2"/>
    </font>
    <font>
      <b val="true"/>
      <sz val="10"/>
      <name val="Meiryo"/>
      <family val="0"/>
      <charset val="1"/>
    </font>
    <font>
      <sz val="10"/>
      <color rgb="FF404040"/>
      <name val="Meiryo"/>
      <family val="2"/>
    </font>
    <font>
      <sz val="10"/>
      <color rgb="FF404040"/>
      <name val="Meiryo"/>
      <family val="0"/>
      <charset val="1"/>
    </font>
    <font>
      <b val="true"/>
      <sz val="11"/>
      <color rgb="FF1F3864"/>
      <name val="Meiryo"/>
      <family val="2"/>
    </font>
    <font>
      <b val="true"/>
      <sz val="11"/>
      <color rgb="FF1F3864"/>
      <name val="Meiryo"/>
      <family val="0"/>
      <charset val="1"/>
    </font>
    <font>
      <sz val="10"/>
      <name val="Meiryo"/>
      <family val="2"/>
    </font>
    <font>
      <sz val="10"/>
      <name val="Arial"/>
      <family val="2"/>
    </font>
    <font>
      <sz val="10"/>
      <color rgb="FF0000FF"/>
      <name val="Meiryo"/>
      <family val="2"/>
    </font>
  </fonts>
  <fills count="13">
    <fill>
      <patternFill patternType="none"/>
    </fill>
    <fill>
      <patternFill patternType="gray125"/>
    </fill>
    <fill>
      <patternFill patternType="solid">
        <fgColor rgb="FF2E5C8A"/>
        <bgColor rgb="FF555555"/>
      </patternFill>
    </fill>
    <fill>
      <patternFill patternType="solid">
        <fgColor rgb="FF4A7A3F"/>
        <bgColor rgb="FF555555"/>
      </patternFill>
    </fill>
    <fill>
      <patternFill patternType="solid">
        <fgColor rgb="FFE8F1FB"/>
        <bgColor rgb="FFEDEDED"/>
      </patternFill>
    </fill>
    <fill>
      <patternFill patternType="solid">
        <fgColor rgb="FFFFF7DC"/>
        <bgColor rgb="FFFDF0D5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8A5A2E"/>
        <bgColor rgb="FF555555"/>
      </patternFill>
    </fill>
    <fill>
      <patternFill patternType="solid">
        <fgColor rgb="FF5B3A7A"/>
        <bgColor rgb="FF555555"/>
      </patternFill>
    </fill>
    <fill>
      <patternFill patternType="solid">
        <fgColor rgb="FFEDEDED"/>
        <bgColor rgb="FFE8F1FB"/>
      </patternFill>
    </fill>
    <fill>
      <patternFill patternType="solid">
        <fgColor rgb="FFFDF0D5"/>
        <bgColor rgb="FFFFF2CC"/>
      </patternFill>
    </fill>
    <fill>
      <patternFill patternType="solid">
        <fgColor rgb="FFFFF2CC"/>
        <bgColor rgb="FFFDF0D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7C3CE"/>
      </left>
      <right style="thin">
        <color rgb="FFB7C3CE"/>
      </right>
      <top style="medium">
        <color rgb="FF2E5C8A"/>
      </top>
      <bottom style="medium">
        <color rgb="FF2E5C8A"/>
      </bottom>
      <diagonal/>
    </border>
    <border diagonalUp="false" diagonalDown="false">
      <left style="thin">
        <color rgb="FFB7C3CE"/>
      </left>
      <right style="thin">
        <color rgb="FFB7C3CE"/>
      </right>
      <top style="thin">
        <color rgb="FFB7C3CE"/>
      </top>
      <bottom style="thin">
        <color rgb="FFB7C3CE"/>
      </bottom>
      <diagonal/>
    </border>
    <border diagonalUp="false" diagonalDown="false">
      <left style="medium">
        <color rgb="FF2E5C8A"/>
      </left>
      <right style="medium">
        <color rgb="FF2E5C8A"/>
      </right>
      <top style="medium">
        <color rgb="FF2E5C8A"/>
      </top>
      <bottom style="medium">
        <color rgb="FF2E5C8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7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2E"/>
      <rgbColor rgb="FF800080"/>
      <rgbColor rgb="FF008080"/>
      <rgbColor rgb="FFB7C3CE"/>
      <rgbColor rgb="FF7F7F7F"/>
      <rgbColor rgb="FF9999FF"/>
      <rgbColor rgb="FF993366"/>
      <rgbColor rgb="FFFFF7DC"/>
      <rgbColor rgb="FFE8F1FB"/>
      <rgbColor rgb="FF660066"/>
      <rgbColor rgb="FFFF8080"/>
      <rgbColor rgb="FF2E5C8A"/>
      <rgbColor rgb="FFEDED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FF2CC"/>
      <rgbColor rgb="FF99CCFF"/>
      <rgbColor rgb="FFFF99CC"/>
      <rgbColor rgb="FFCC99FF"/>
      <rgbColor rgb="FFFDF0D5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4A7A3F"/>
      <rgbColor rgb="FF003300"/>
      <rgbColor rgb="FF333300"/>
      <rgbColor rgb="FF993300"/>
      <rgbColor rgb="FF993366"/>
      <rgbColor rgb="FF5B3A7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2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14"/>
    <col collapsed="false" customWidth="true" hidden="false" outlineLevel="0" max="14" min="14" style="0" width="6"/>
    <col collapsed="false" customWidth="true" hidden="false" outlineLevel="0" max="16" min="15" style="0" width="14"/>
    <col collapsed="false" customWidth="true" hidden="false" outlineLevel="0" max="17" min="17" style="0" width="12"/>
  </cols>
  <sheetData>
    <row r="1" customFormat="false" ht="19.4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4" t="str">
        <f aca="false">設定!$B$5</f>
        <v>従業員A</v>
      </c>
      <c r="B7" s="4"/>
      <c r="C7" s="4"/>
      <c r="D7" s="4"/>
      <c r="E7" s="4"/>
      <c r="F7" s="4"/>
      <c r="G7" s="4"/>
      <c r="H7" s="4"/>
      <c r="I7" s="2"/>
      <c r="J7" s="5" t="str">
        <f aca="false">設定!$B$6</f>
        <v>従業員B</v>
      </c>
      <c r="K7" s="5"/>
      <c r="L7" s="5"/>
      <c r="M7" s="5"/>
      <c r="N7" s="5"/>
      <c r="O7" s="5"/>
      <c r="P7" s="5"/>
      <c r="Q7" s="5"/>
    </row>
    <row r="8" customFormat="false" ht="31.5" hidden="false" customHeight="true" outlineLevel="0" collapsed="false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2"/>
      <c r="J8" s="7" t="s">
        <v>5</v>
      </c>
      <c r="K8" s="7" t="s">
        <v>6</v>
      </c>
      <c r="L8" s="7" t="s">
        <v>7</v>
      </c>
      <c r="M8" s="7" t="s">
        <v>8</v>
      </c>
      <c r="N8" s="7" t="s">
        <v>9</v>
      </c>
      <c r="O8" s="7" t="s">
        <v>10</v>
      </c>
      <c r="P8" s="7" t="s">
        <v>11</v>
      </c>
      <c r="Q8" s="7" t="s">
        <v>12</v>
      </c>
    </row>
    <row r="9" customFormat="false" ht="15" hidden="false" customHeight="false" outlineLevel="0" collapsed="false">
      <c r="A9" s="8" t="n">
        <v>46235</v>
      </c>
      <c r="B9" s="9" t="s">
        <v>13</v>
      </c>
      <c r="C9" s="10" t="n">
        <v>45000</v>
      </c>
      <c r="D9" s="9" t="s">
        <v>14</v>
      </c>
      <c r="E9" s="11" t="s">
        <v>15</v>
      </c>
      <c r="F9" s="9" t="s">
        <v>16</v>
      </c>
      <c r="G9" s="9" t="s">
        <v>17</v>
      </c>
      <c r="H9" s="10" t="n">
        <v>480</v>
      </c>
      <c r="I9" s="2"/>
      <c r="J9" s="8" t="n">
        <v>46236</v>
      </c>
      <c r="K9" s="9" t="s">
        <v>18</v>
      </c>
      <c r="L9" s="10" t="n">
        <v>128000</v>
      </c>
      <c r="M9" s="9" t="s">
        <v>19</v>
      </c>
      <c r="N9" s="11"/>
      <c r="O9" s="9" t="s">
        <v>16</v>
      </c>
      <c r="P9" s="9" t="s">
        <v>20</v>
      </c>
      <c r="Q9" s="10" t="n">
        <v>640</v>
      </c>
    </row>
    <row r="10" customFormat="false" ht="15" hidden="false" customHeight="false" outlineLevel="0" collapsed="false">
      <c r="A10" s="8" t="n">
        <v>46235</v>
      </c>
      <c r="B10" s="9"/>
      <c r="C10" s="10"/>
      <c r="D10" s="9"/>
      <c r="E10" s="11" t="s">
        <v>15</v>
      </c>
      <c r="F10" s="9" t="s">
        <v>17</v>
      </c>
      <c r="G10" s="9" t="s">
        <v>21</v>
      </c>
      <c r="H10" s="10" t="n">
        <v>200</v>
      </c>
      <c r="I10" s="2"/>
      <c r="J10" s="12"/>
      <c r="K10" s="13"/>
      <c r="L10" s="14"/>
      <c r="M10" s="13"/>
      <c r="N10" s="15"/>
      <c r="O10" s="13"/>
      <c r="P10" s="13"/>
      <c r="Q10" s="14"/>
    </row>
    <row r="11" customFormat="false" ht="15" hidden="false" customHeight="false" outlineLevel="0" collapsed="false">
      <c r="A11" s="12"/>
      <c r="B11" s="13"/>
      <c r="C11" s="14"/>
      <c r="D11" s="13"/>
      <c r="E11" s="15"/>
      <c r="F11" s="13"/>
      <c r="G11" s="13"/>
      <c r="H11" s="14"/>
      <c r="I11" s="2"/>
      <c r="J11" s="12"/>
      <c r="K11" s="13"/>
      <c r="L11" s="14"/>
      <c r="M11" s="13"/>
      <c r="N11" s="15"/>
      <c r="O11" s="13"/>
      <c r="P11" s="13"/>
      <c r="Q11" s="14"/>
    </row>
    <row r="12" customFormat="false" ht="15" hidden="false" customHeight="false" outlineLevel="0" collapsed="false">
      <c r="A12" s="12"/>
      <c r="B12" s="13"/>
      <c r="C12" s="14"/>
      <c r="D12" s="13"/>
      <c r="E12" s="15"/>
      <c r="F12" s="13"/>
      <c r="G12" s="13"/>
      <c r="H12" s="14"/>
      <c r="I12" s="2"/>
      <c r="J12" s="12"/>
      <c r="K12" s="13"/>
      <c r="L12" s="14"/>
      <c r="M12" s="13"/>
      <c r="N12" s="15"/>
      <c r="O12" s="13"/>
      <c r="P12" s="13"/>
      <c r="Q12" s="14"/>
    </row>
    <row r="13" customFormat="false" ht="15" hidden="false" customHeight="false" outlineLevel="0" collapsed="false">
      <c r="A13" s="12"/>
      <c r="B13" s="13"/>
      <c r="C13" s="14"/>
      <c r="D13" s="13"/>
      <c r="E13" s="15"/>
      <c r="F13" s="13"/>
      <c r="G13" s="13"/>
      <c r="H13" s="14"/>
      <c r="I13" s="2"/>
      <c r="J13" s="12"/>
      <c r="K13" s="13"/>
      <c r="L13" s="14"/>
      <c r="M13" s="13"/>
      <c r="N13" s="15"/>
      <c r="O13" s="13"/>
      <c r="P13" s="13"/>
      <c r="Q13" s="14"/>
    </row>
    <row r="14" customFormat="false" ht="15" hidden="false" customHeight="false" outlineLevel="0" collapsed="false">
      <c r="A14" s="12"/>
      <c r="B14" s="13"/>
      <c r="C14" s="14"/>
      <c r="D14" s="13"/>
      <c r="E14" s="15"/>
      <c r="F14" s="13"/>
      <c r="G14" s="13"/>
      <c r="H14" s="14"/>
      <c r="I14" s="2"/>
      <c r="J14" s="12"/>
      <c r="K14" s="13"/>
      <c r="L14" s="14"/>
      <c r="M14" s="13"/>
      <c r="N14" s="15"/>
      <c r="O14" s="13"/>
      <c r="P14" s="13"/>
      <c r="Q14" s="14"/>
    </row>
    <row r="15" customFormat="false" ht="15" hidden="false" customHeight="false" outlineLevel="0" collapsed="false">
      <c r="A15" s="12"/>
      <c r="B15" s="13"/>
      <c r="C15" s="14"/>
      <c r="D15" s="13"/>
      <c r="E15" s="15"/>
      <c r="F15" s="13"/>
      <c r="G15" s="13"/>
      <c r="H15" s="14"/>
      <c r="I15" s="2"/>
      <c r="J15" s="12"/>
      <c r="K15" s="13"/>
      <c r="L15" s="14"/>
      <c r="M15" s="13"/>
      <c r="N15" s="15"/>
      <c r="O15" s="13"/>
      <c r="P15" s="13"/>
      <c r="Q15" s="14"/>
    </row>
    <row r="16" customFormat="false" ht="15" hidden="false" customHeight="false" outlineLevel="0" collapsed="false">
      <c r="A16" s="12"/>
      <c r="B16" s="13"/>
      <c r="C16" s="14"/>
      <c r="D16" s="13"/>
      <c r="E16" s="15"/>
      <c r="F16" s="13"/>
      <c r="G16" s="13"/>
      <c r="H16" s="14"/>
      <c r="I16" s="2"/>
      <c r="J16" s="12"/>
      <c r="K16" s="13"/>
      <c r="L16" s="14"/>
      <c r="M16" s="13"/>
      <c r="N16" s="15"/>
      <c r="O16" s="13"/>
      <c r="P16" s="13"/>
      <c r="Q16" s="14"/>
    </row>
    <row r="17" customFormat="false" ht="15" hidden="false" customHeight="false" outlineLevel="0" collapsed="false">
      <c r="A17" s="12"/>
      <c r="B17" s="13"/>
      <c r="C17" s="14"/>
      <c r="D17" s="13"/>
      <c r="E17" s="15"/>
      <c r="F17" s="13"/>
      <c r="G17" s="13"/>
      <c r="H17" s="14"/>
      <c r="I17" s="2"/>
      <c r="J17" s="12"/>
      <c r="K17" s="13"/>
      <c r="L17" s="14"/>
      <c r="M17" s="13"/>
      <c r="N17" s="15"/>
      <c r="O17" s="13"/>
      <c r="P17" s="13"/>
      <c r="Q17" s="14"/>
    </row>
    <row r="18" customFormat="false" ht="15" hidden="false" customHeight="false" outlineLevel="0" collapsed="false">
      <c r="A18" s="12"/>
      <c r="B18" s="13"/>
      <c r="C18" s="14"/>
      <c r="D18" s="13"/>
      <c r="E18" s="15"/>
      <c r="F18" s="13"/>
      <c r="G18" s="13"/>
      <c r="H18" s="14"/>
      <c r="I18" s="2"/>
      <c r="J18" s="12"/>
      <c r="K18" s="13"/>
      <c r="L18" s="14"/>
      <c r="M18" s="13"/>
      <c r="N18" s="15"/>
      <c r="O18" s="13"/>
      <c r="P18" s="13"/>
      <c r="Q18" s="14"/>
    </row>
    <row r="19" customFormat="false" ht="15" hidden="false" customHeight="false" outlineLevel="0" collapsed="false">
      <c r="A19" s="12"/>
      <c r="B19" s="13"/>
      <c r="C19" s="14"/>
      <c r="D19" s="13"/>
      <c r="E19" s="15"/>
      <c r="F19" s="13"/>
      <c r="G19" s="13"/>
      <c r="H19" s="14"/>
      <c r="I19" s="2"/>
      <c r="J19" s="12"/>
      <c r="K19" s="13"/>
      <c r="L19" s="14"/>
      <c r="M19" s="13"/>
      <c r="N19" s="15"/>
      <c r="O19" s="13"/>
      <c r="P19" s="13"/>
      <c r="Q19" s="14"/>
    </row>
    <row r="20" customFormat="false" ht="15" hidden="false" customHeight="false" outlineLevel="0" collapsed="false">
      <c r="A20" s="12"/>
      <c r="B20" s="13"/>
      <c r="C20" s="14"/>
      <c r="D20" s="13"/>
      <c r="E20" s="15"/>
      <c r="F20" s="13"/>
      <c r="G20" s="13"/>
      <c r="H20" s="14"/>
      <c r="I20" s="2"/>
      <c r="J20" s="12"/>
      <c r="K20" s="13"/>
      <c r="L20" s="14"/>
      <c r="M20" s="13"/>
      <c r="N20" s="15"/>
      <c r="O20" s="13"/>
      <c r="P20" s="13"/>
      <c r="Q20" s="14"/>
    </row>
    <row r="21" customFormat="false" ht="15" hidden="false" customHeight="false" outlineLevel="0" collapsed="false">
      <c r="A21" s="12"/>
      <c r="B21" s="13"/>
      <c r="C21" s="14"/>
      <c r="D21" s="13"/>
      <c r="E21" s="15"/>
      <c r="F21" s="13"/>
      <c r="G21" s="13"/>
      <c r="H21" s="14"/>
      <c r="I21" s="2"/>
      <c r="J21" s="12"/>
      <c r="K21" s="13"/>
      <c r="L21" s="14"/>
      <c r="M21" s="13"/>
      <c r="N21" s="15"/>
      <c r="O21" s="13"/>
      <c r="P21" s="13"/>
      <c r="Q21" s="14"/>
    </row>
    <row r="22" customFormat="false" ht="15" hidden="false" customHeight="false" outlineLevel="0" collapsed="false">
      <c r="A22" s="12"/>
      <c r="B22" s="13"/>
      <c r="C22" s="14"/>
      <c r="D22" s="13"/>
      <c r="E22" s="15"/>
      <c r="F22" s="13"/>
      <c r="G22" s="13"/>
      <c r="H22" s="14"/>
      <c r="I22" s="2"/>
      <c r="J22" s="12"/>
      <c r="K22" s="13"/>
      <c r="L22" s="14"/>
      <c r="M22" s="13"/>
      <c r="N22" s="15"/>
      <c r="O22" s="13"/>
      <c r="P22" s="13"/>
      <c r="Q22" s="14"/>
    </row>
    <row r="23" customFormat="false" ht="15" hidden="false" customHeight="false" outlineLevel="0" collapsed="false">
      <c r="A23" s="12"/>
      <c r="B23" s="13"/>
      <c r="C23" s="14"/>
      <c r="D23" s="13"/>
      <c r="E23" s="15"/>
      <c r="F23" s="13"/>
      <c r="G23" s="13"/>
      <c r="H23" s="14"/>
      <c r="I23" s="2"/>
      <c r="J23" s="12"/>
      <c r="K23" s="13"/>
      <c r="L23" s="14"/>
      <c r="M23" s="13"/>
      <c r="N23" s="15"/>
      <c r="O23" s="13"/>
      <c r="P23" s="13"/>
      <c r="Q23" s="14"/>
    </row>
    <row r="24" customFormat="false" ht="15" hidden="false" customHeight="false" outlineLevel="0" collapsed="false">
      <c r="A24" s="12"/>
      <c r="B24" s="13"/>
      <c r="C24" s="14"/>
      <c r="D24" s="13"/>
      <c r="E24" s="15"/>
      <c r="F24" s="13"/>
      <c r="G24" s="13"/>
      <c r="H24" s="14"/>
      <c r="I24" s="2"/>
      <c r="J24" s="12"/>
      <c r="K24" s="13"/>
      <c r="L24" s="14"/>
      <c r="M24" s="13"/>
      <c r="N24" s="15"/>
      <c r="O24" s="13"/>
      <c r="P24" s="13"/>
      <c r="Q24" s="14"/>
    </row>
    <row r="25" customFormat="false" ht="15" hidden="false" customHeight="false" outlineLevel="0" collapsed="false">
      <c r="A25" s="12"/>
      <c r="B25" s="13"/>
      <c r="C25" s="14"/>
      <c r="D25" s="13"/>
      <c r="E25" s="15"/>
      <c r="F25" s="13"/>
      <c r="G25" s="13"/>
      <c r="H25" s="14"/>
      <c r="I25" s="2"/>
      <c r="J25" s="12"/>
      <c r="K25" s="13"/>
      <c r="L25" s="14"/>
      <c r="M25" s="13"/>
      <c r="N25" s="15"/>
      <c r="O25" s="13"/>
      <c r="P25" s="13"/>
      <c r="Q25" s="14"/>
    </row>
    <row r="26" customFormat="false" ht="15" hidden="false" customHeight="false" outlineLevel="0" collapsed="false">
      <c r="A26" s="12"/>
      <c r="B26" s="13"/>
      <c r="C26" s="14"/>
      <c r="D26" s="13"/>
      <c r="E26" s="15"/>
      <c r="F26" s="13"/>
      <c r="G26" s="13"/>
      <c r="H26" s="14"/>
      <c r="I26" s="2"/>
      <c r="J26" s="12"/>
      <c r="K26" s="13"/>
      <c r="L26" s="14"/>
      <c r="M26" s="13"/>
      <c r="N26" s="15"/>
      <c r="O26" s="13"/>
      <c r="P26" s="13"/>
      <c r="Q26" s="14"/>
    </row>
    <row r="27" customFormat="false" ht="15" hidden="false" customHeight="false" outlineLevel="0" collapsed="false">
      <c r="A27" s="12"/>
      <c r="B27" s="13"/>
      <c r="C27" s="14"/>
      <c r="D27" s="13"/>
      <c r="E27" s="15"/>
      <c r="F27" s="13"/>
      <c r="G27" s="13"/>
      <c r="H27" s="14"/>
      <c r="I27" s="2"/>
      <c r="J27" s="12"/>
      <c r="K27" s="13"/>
      <c r="L27" s="14"/>
      <c r="M27" s="13"/>
      <c r="N27" s="15"/>
      <c r="O27" s="13"/>
      <c r="P27" s="13"/>
      <c r="Q27" s="14"/>
    </row>
    <row r="28" customFormat="false" ht="15" hidden="false" customHeight="false" outlineLevel="0" collapsed="false">
      <c r="A28" s="12"/>
      <c r="B28" s="13"/>
      <c r="C28" s="14"/>
      <c r="D28" s="13"/>
      <c r="E28" s="15"/>
      <c r="F28" s="13"/>
      <c r="G28" s="13"/>
      <c r="H28" s="14"/>
      <c r="I28" s="2"/>
      <c r="J28" s="12"/>
      <c r="K28" s="13"/>
      <c r="L28" s="14"/>
      <c r="M28" s="13"/>
      <c r="N28" s="15"/>
      <c r="O28" s="13"/>
      <c r="P28" s="13"/>
      <c r="Q28" s="14"/>
    </row>
    <row r="29" customFormat="false" ht="15" hidden="false" customHeight="false" outlineLevel="0" collapsed="false">
      <c r="A29" s="12"/>
      <c r="B29" s="13"/>
      <c r="C29" s="14"/>
      <c r="D29" s="13"/>
      <c r="E29" s="15"/>
      <c r="F29" s="13"/>
      <c r="G29" s="13"/>
      <c r="H29" s="14"/>
      <c r="I29" s="2"/>
      <c r="J29" s="12"/>
      <c r="K29" s="13"/>
      <c r="L29" s="14"/>
      <c r="M29" s="13"/>
      <c r="N29" s="15"/>
      <c r="O29" s="13"/>
      <c r="P29" s="13"/>
      <c r="Q29" s="14"/>
    </row>
    <row r="30" customFormat="false" ht="15" hidden="false" customHeight="false" outlineLevel="0" collapsed="false">
      <c r="A30" s="12"/>
      <c r="B30" s="13"/>
      <c r="C30" s="14"/>
      <c r="D30" s="13"/>
      <c r="E30" s="15"/>
      <c r="F30" s="13"/>
      <c r="G30" s="13"/>
      <c r="H30" s="14"/>
      <c r="I30" s="2"/>
      <c r="J30" s="12"/>
      <c r="K30" s="13"/>
      <c r="L30" s="14"/>
      <c r="M30" s="13"/>
      <c r="N30" s="15"/>
      <c r="O30" s="13"/>
      <c r="P30" s="13"/>
      <c r="Q30" s="14"/>
    </row>
    <row r="31" customFormat="false" ht="15" hidden="false" customHeight="false" outlineLevel="0" collapsed="false">
      <c r="A31" s="12"/>
      <c r="B31" s="13"/>
      <c r="C31" s="14"/>
      <c r="D31" s="13"/>
      <c r="E31" s="15"/>
      <c r="F31" s="13"/>
      <c r="G31" s="13"/>
      <c r="H31" s="14"/>
      <c r="I31" s="2"/>
      <c r="J31" s="12"/>
      <c r="K31" s="13"/>
      <c r="L31" s="14"/>
      <c r="M31" s="13"/>
      <c r="N31" s="15"/>
      <c r="O31" s="13"/>
      <c r="P31" s="13"/>
      <c r="Q31" s="14"/>
    </row>
    <row r="32" customFormat="false" ht="15" hidden="false" customHeight="false" outlineLevel="0" collapsed="false">
      <c r="A32" s="12"/>
      <c r="B32" s="13"/>
      <c r="C32" s="14"/>
      <c r="D32" s="13"/>
      <c r="E32" s="15"/>
      <c r="F32" s="13"/>
      <c r="G32" s="13"/>
      <c r="H32" s="14"/>
      <c r="I32" s="2"/>
      <c r="J32" s="12"/>
      <c r="K32" s="13"/>
      <c r="L32" s="14"/>
      <c r="M32" s="13"/>
      <c r="N32" s="15"/>
      <c r="O32" s="13"/>
      <c r="P32" s="13"/>
      <c r="Q32" s="14"/>
    </row>
    <row r="33" customFormat="false" ht="15" hidden="false" customHeight="false" outlineLevel="0" collapsed="false">
      <c r="A33" s="12"/>
      <c r="B33" s="13"/>
      <c r="C33" s="14"/>
      <c r="D33" s="13"/>
      <c r="E33" s="15"/>
      <c r="F33" s="13"/>
      <c r="G33" s="13"/>
      <c r="H33" s="14"/>
      <c r="I33" s="2"/>
      <c r="J33" s="12"/>
      <c r="K33" s="13"/>
      <c r="L33" s="14"/>
      <c r="M33" s="13"/>
      <c r="N33" s="15"/>
      <c r="O33" s="13"/>
      <c r="P33" s="13"/>
      <c r="Q33" s="14"/>
    </row>
    <row r="34" customFormat="false" ht="15" hidden="false" customHeight="false" outlineLevel="0" collapsed="false">
      <c r="A34" s="12"/>
      <c r="B34" s="13"/>
      <c r="C34" s="14"/>
      <c r="D34" s="13"/>
      <c r="E34" s="15"/>
      <c r="F34" s="13"/>
      <c r="G34" s="13"/>
      <c r="H34" s="14"/>
      <c r="I34" s="2"/>
      <c r="J34" s="12"/>
      <c r="K34" s="13"/>
      <c r="L34" s="14"/>
      <c r="M34" s="13"/>
      <c r="N34" s="15"/>
      <c r="O34" s="13"/>
      <c r="P34" s="13"/>
      <c r="Q34" s="14"/>
    </row>
    <row r="35" customFormat="false" ht="15" hidden="false" customHeight="false" outlineLevel="0" collapsed="false">
      <c r="A35" s="12"/>
      <c r="B35" s="13"/>
      <c r="C35" s="14"/>
      <c r="D35" s="13"/>
      <c r="E35" s="15"/>
      <c r="F35" s="13"/>
      <c r="G35" s="13"/>
      <c r="H35" s="14"/>
      <c r="I35" s="2"/>
      <c r="J35" s="12"/>
      <c r="K35" s="13"/>
      <c r="L35" s="14"/>
      <c r="M35" s="13"/>
      <c r="N35" s="15"/>
      <c r="O35" s="13"/>
      <c r="P35" s="13"/>
      <c r="Q35" s="14"/>
    </row>
    <row r="36" customFormat="false" ht="15" hidden="false" customHeight="false" outlineLevel="0" collapsed="false">
      <c r="A36" s="12"/>
      <c r="B36" s="13"/>
      <c r="C36" s="14"/>
      <c r="D36" s="13"/>
      <c r="E36" s="15"/>
      <c r="F36" s="13"/>
      <c r="G36" s="13"/>
      <c r="H36" s="14"/>
      <c r="I36" s="2"/>
      <c r="J36" s="12"/>
      <c r="K36" s="13"/>
      <c r="L36" s="14"/>
      <c r="M36" s="13"/>
      <c r="N36" s="15"/>
      <c r="O36" s="13"/>
      <c r="P36" s="13"/>
      <c r="Q36" s="14"/>
    </row>
    <row r="37" customFormat="false" ht="15" hidden="false" customHeight="false" outlineLevel="0" collapsed="false">
      <c r="A37" s="12"/>
      <c r="B37" s="13"/>
      <c r="C37" s="14"/>
      <c r="D37" s="13"/>
      <c r="E37" s="15"/>
      <c r="F37" s="13"/>
      <c r="G37" s="13"/>
      <c r="H37" s="14"/>
      <c r="I37" s="2"/>
      <c r="J37" s="12"/>
      <c r="K37" s="13"/>
      <c r="L37" s="14"/>
      <c r="M37" s="13"/>
      <c r="N37" s="15"/>
      <c r="O37" s="13"/>
      <c r="P37" s="13"/>
      <c r="Q37" s="14"/>
    </row>
    <row r="38" customFormat="false" ht="15" hidden="false" customHeight="false" outlineLevel="0" collapsed="false">
      <c r="A38" s="12"/>
      <c r="B38" s="13"/>
      <c r="C38" s="14"/>
      <c r="D38" s="13"/>
      <c r="E38" s="15"/>
      <c r="F38" s="13"/>
      <c r="G38" s="13"/>
      <c r="H38" s="14"/>
      <c r="I38" s="2"/>
      <c r="J38" s="12"/>
      <c r="K38" s="13"/>
      <c r="L38" s="14"/>
      <c r="M38" s="13"/>
      <c r="N38" s="15"/>
      <c r="O38" s="13"/>
      <c r="P38" s="13"/>
      <c r="Q38" s="14"/>
    </row>
    <row r="39" customFormat="false" ht="15" hidden="false" customHeight="false" outlineLevel="0" collapsed="false">
      <c r="A39" s="12"/>
      <c r="B39" s="13"/>
      <c r="C39" s="14"/>
      <c r="D39" s="13"/>
      <c r="E39" s="15"/>
      <c r="F39" s="13"/>
      <c r="G39" s="13"/>
      <c r="H39" s="14"/>
      <c r="I39" s="2"/>
      <c r="J39" s="12"/>
      <c r="K39" s="13"/>
      <c r="L39" s="14"/>
      <c r="M39" s="13"/>
      <c r="N39" s="15"/>
      <c r="O39" s="13"/>
      <c r="P39" s="13"/>
      <c r="Q39" s="14"/>
    </row>
    <row r="40" customFormat="false" ht="15" hidden="false" customHeight="false" outlineLevel="0" collapsed="false">
      <c r="A40" s="12"/>
      <c r="B40" s="13"/>
      <c r="C40" s="14"/>
      <c r="D40" s="13"/>
      <c r="E40" s="15"/>
      <c r="F40" s="13"/>
      <c r="G40" s="13"/>
      <c r="H40" s="14"/>
      <c r="I40" s="2"/>
      <c r="J40" s="12"/>
      <c r="K40" s="13"/>
      <c r="L40" s="14"/>
      <c r="M40" s="13"/>
      <c r="N40" s="15"/>
      <c r="O40" s="13"/>
      <c r="P40" s="13"/>
      <c r="Q40" s="14"/>
    </row>
    <row r="41" customFormat="false" ht="15" hidden="false" customHeight="false" outlineLevel="0" collapsed="false">
      <c r="A41" s="12"/>
      <c r="B41" s="13"/>
      <c r="C41" s="14"/>
      <c r="D41" s="13"/>
      <c r="E41" s="15"/>
      <c r="F41" s="13"/>
      <c r="G41" s="13"/>
      <c r="H41" s="14"/>
      <c r="I41" s="2"/>
      <c r="J41" s="12"/>
      <c r="K41" s="13"/>
      <c r="L41" s="14"/>
      <c r="M41" s="13"/>
      <c r="N41" s="15"/>
      <c r="O41" s="13"/>
      <c r="P41" s="13"/>
      <c r="Q41" s="14"/>
    </row>
    <row r="42" customFormat="false" ht="15" hidden="false" customHeight="false" outlineLevel="0" collapsed="false">
      <c r="A42" s="12"/>
      <c r="B42" s="13"/>
      <c r="C42" s="14"/>
      <c r="D42" s="13"/>
      <c r="E42" s="15"/>
      <c r="F42" s="13"/>
      <c r="G42" s="13"/>
      <c r="H42" s="14"/>
      <c r="I42" s="2"/>
      <c r="J42" s="12"/>
      <c r="K42" s="13"/>
      <c r="L42" s="14"/>
      <c r="M42" s="13"/>
      <c r="N42" s="15"/>
      <c r="O42" s="13"/>
      <c r="P42" s="13"/>
      <c r="Q42" s="14"/>
    </row>
    <row r="43" customFormat="false" ht="15" hidden="false" customHeight="false" outlineLevel="0" collapsed="false">
      <c r="A43" s="12"/>
      <c r="B43" s="13"/>
      <c r="C43" s="14"/>
      <c r="D43" s="13"/>
      <c r="E43" s="15"/>
      <c r="F43" s="13"/>
      <c r="G43" s="13"/>
      <c r="H43" s="14"/>
      <c r="I43" s="2"/>
      <c r="J43" s="12"/>
      <c r="K43" s="13"/>
      <c r="L43" s="14"/>
      <c r="M43" s="13"/>
      <c r="N43" s="15"/>
      <c r="O43" s="13"/>
      <c r="P43" s="13"/>
      <c r="Q43" s="14"/>
    </row>
    <row r="44" customFormat="false" ht="15" hidden="false" customHeight="false" outlineLevel="0" collapsed="false">
      <c r="A44" s="12"/>
      <c r="B44" s="13"/>
      <c r="C44" s="14"/>
      <c r="D44" s="13"/>
      <c r="E44" s="15"/>
      <c r="F44" s="13"/>
      <c r="G44" s="13"/>
      <c r="H44" s="14"/>
      <c r="I44" s="2"/>
      <c r="J44" s="12"/>
      <c r="K44" s="13"/>
      <c r="L44" s="14"/>
      <c r="M44" s="13"/>
      <c r="N44" s="15"/>
      <c r="O44" s="13"/>
      <c r="P44" s="13"/>
      <c r="Q44" s="14"/>
    </row>
    <row r="45" customFormat="false" ht="15" hidden="false" customHeight="false" outlineLevel="0" collapsed="false">
      <c r="A45" s="12"/>
      <c r="B45" s="13"/>
      <c r="C45" s="14"/>
      <c r="D45" s="13"/>
      <c r="E45" s="15"/>
      <c r="F45" s="13"/>
      <c r="G45" s="13"/>
      <c r="H45" s="14"/>
      <c r="I45" s="2"/>
      <c r="J45" s="12"/>
      <c r="K45" s="13"/>
      <c r="L45" s="14"/>
      <c r="M45" s="13"/>
      <c r="N45" s="15"/>
      <c r="O45" s="13"/>
      <c r="P45" s="13"/>
      <c r="Q45" s="14"/>
    </row>
    <row r="46" customFormat="false" ht="15" hidden="false" customHeight="false" outlineLevel="0" collapsed="false">
      <c r="A46" s="12"/>
      <c r="B46" s="13"/>
      <c r="C46" s="14"/>
      <c r="D46" s="13"/>
      <c r="E46" s="15"/>
      <c r="F46" s="13"/>
      <c r="G46" s="13"/>
      <c r="H46" s="14"/>
      <c r="I46" s="2"/>
      <c r="J46" s="12"/>
      <c r="K46" s="13"/>
      <c r="L46" s="14"/>
      <c r="M46" s="13"/>
      <c r="N46" s="15"/>
      <c r="O46" s="13"/>
      <c r="P46" s="13"/>
      <c r="Q46" s="14"/>
    </row>
    <row r="47" customFormat="false" ht="15" hidden="false" customHeight="false" outlineLevel="0" collapsed="false">
      <c r="A47" s="12"/>
      <c r="B47" s="13"/>
      <c r="C47" s="14"/>
      <c r="D47" s="13"/>
      <c r="E47" s="15"/>
      <c r="F47" s="13"/>
      <c r="G47" s="13"/>
      <c r="H47" s="14"/>
      <c r="I47" s="2"/>
      <c r="J47" s="12"/>
      <c r="K47" s="13"/>
      <c r="L47" s="14"/>
      <c r="M47" s="13"/>
      <c r="N47" s="15"/>
      <c r="O47" s="13"/>
      <c r="P47" s="13"/>
      <c r="Q47" s="14"/>
    </row>
    <row r="48" customFormat="false" ht="15" hidden="false" customHeight="false" outlineLevel="0" collapsed="false">
      <c r="A48" s="12"/>
      <c r="B48" s="13"/>
      <c r="C48" s="14"/>
      <c r="D48" s="13"/>
      <c r="E48" s="15"/>
      <c r="F48" s="13"/>
      <c r="G48" s="13"/>
      <c r="H48" s="14"/>
      <c r="I48" s="2"/>
      <c r="J48" s="12"/>
      <c r="K48" s="13"/>
      <c r="L48" s="14"/>
      <c r="M48" s="13"/>
      <c r="N48" s="15"/>
      <c r="O48" s="13"/>
      <c r="P48" s="13"/>
      <c r="Q48" s="14"/>
    </row>
    <row r="49" customFormat="false" ht="15" hidden="false" customHeight="false" outlineLevel="0" collapsed="false">
      <c r="A49" s="16" t="s">
        <v>22</v>
      </c>
      <c r="B49" s="16"/>
      <c r="C49" s="17" t="n">
        <f aca="false">SUM(C9:C48)</f>
        <v>45000</v>
      </c>
      <c r="D49" s="18"/>
      <c r="E49" s="18"/>
      <c r="F49" s="18"/>
      <c r="G49" s="18"/>
      <c r="H49" s="17" t="n">
        <f aca="false">SUM(H9:H48)</f>
        <v>680</v>
      </c>
      <c r="I49" s="2"/>
      <c r="J49" s="19" t="s">
        <v>22</v>
      </c>
      <c r="K49" s="19"/>
      <c r="L49" s="20" t="n">
        <f aca="false">SUM(L9:L48)</f>
        <v>128000</v>
      </c>
      <c r="M49" s="21"/>
      <c r="N49" s="21"/>
      <c r="O49" s="21"/>
      <c r="P49" s="21"/>
      <c r="Q49" s="20" t="n">
        <f aca="false">SUM(Q9:Q48)</f>
        <v>640</v>
      </c>
    </row>
    <row r="50" customFormat="false" ht="15" hidden="false" customHeight="false" outlineLevel="0" collapsed="false">
      <c r="A50" s="3" t="s">
        <v>23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customFormat="false" ht="15" hidden="false" customHeight="false" outlineLevel="0" collapsed="false">
      <c r="A51" s="22" t="s">
        <v>24</v>
      </c>
      <c r="B51" s="22"/>
      <c r="C51" s="22"/>
      <c r="D51" s="22"/>
      <c r="E51" s="22"/>
      <c r="F51" s="22"/>
      <c r="G51" s="22"/>
      <c r="H51" s="22"/>
      <c r="I51" s="2"/>
      <c r="J51" s="23" t="s">
        <v>25</v>
      </c>
      <c r="K51" s="23"/>
      <c r="L51" s="23"/>
      <c r="M51" s="23"/>
      <c r="N51" s="2"/>
      <c r="O51" s="2"/>
      <c r="P51" s="2"/>
      <c r="Q51" s="2"/>
    </row>
    <row r="52" customFormat="false" ht="15" hidden="false" customHeight="false" outlineLevel="0" collapsed="false">
      <c r="A52" s="22" t="s">
        <v>5</v>
      </c>
      <c r="B52" s="22" t="s">
        <v>26</v>
      </c>
      <c r="C52" s="22" t="s">
        <v>27</v>
      </c>
      <c r="D52" s="22"/>
      <c r="E52" s="22"/>
      <c r="F52" s="22"/>
      <c r="G52" s="22" t="s">
        <v>28</v>
      </c>
      <c r="H52" s="22"/>
      <c r="I52" s="2"/>
      <c r="J52" s="23" t="s">
        <v>29</v>
      </c>
      <c r="K52" s="23"/>
      <c r="L52" s="23"/>
      <c r="M52" s="23" t="s">
        <v>28</v>
      </c>
      <c r="N52" s="2"/>
      <c r="O52" s="2"/>
      <c r="P52" s="2"/>
      <c r="Q52" s="2"/>
    </row>
    <row r="53" customFormat="false" ht="15" hidden="false" customHeight="false" outlineLevel="0" collapsed="false">
      <c r="A53" s="8" t="n">
        <v>46237</v>
      </c>
      <c r="B53" s="9" t="s">
        <v>30</v>
      </c>
      <c r="C53" s="9" t="s">
        <v>31</v>
      </c>
      <c r="D53" s="9"/>
      <c r="E53" s="9"/>
      <c r="F53" s="9"/>
      <c r="G53" s="10" t="n">
        <v>2600</v>
      </c>
      <c r="H53" s="10"/>
      <c r="I53" s="2"/>
      <c r="J53" s="24" t="str">
        <f aca="false">設定!$B$5&amp;" 仕入れ合計"</f>
        <v>従業員A 仕入れ合計</v>
      </c>
      <c r="K53" s="24"/>
      <c r="L53" s="24"/>
      <c r="M53" s="25" t="n">
        <f aca="false">C49</f>
        <v>45000</v>
      </c>
      <c r="N53" s="2"/>
      <c r="O53" s="2"/>
      <c r="P53" s="2"/>
      <c r="Q53" s="2"/>
    </row>
    <row r="54" customFormat="false" ht="15" hidden="false" customHeight="false" outlineLevel="0" collapsed="false">
      <c r="A54" s="8" t="n">
        <v>46239</v>
      </c>
      <c r="B54" s="9" t="s">
        <v>32</v>
      </c>
      <c r="C54" s="9" t="s">
        <v>33</v>
      </c>
      <c r="D54" s="9"/>
      <c r="E54" s="9"/>
      <c r="F54" s="9"/>
      <c r="G54" s="10" t="n">
        <v>3480</v>
      </c>
      <c r="H54" s="10"/>
      <c r="I54" s="2"/>
      <c r="J54" s="24" t="str">
        <f aca="false">設定!$B$5&amp;" 交通費合計"</f>
        <v>従業員A 交通費合計</v>
      </c>
      <c r="K54" s="24"/>
      <c r="L54" s="24"/>
      <c r="M54" s="25" t="n">
        <f aca="false">H49</f>
        <v>680</v>
      </c>
      <c r="N54" s="2"/>
      <c r="O54" s="2"/>
      <c r="P54" s="2"/>
      <c r="Q54" s="2"/>
    </row>
    <row r="55" customFormat="false" ht="15" hidden="false" customHeight="false" outlineLevel="0" collapsed="false">
      <c r="A55" s="12"/>
      <c r="B55" s="13"/>
      <c r="C55" s="13"/>
      <c r="D55" s="13"/>
      <c r="E55" s="13"/>
      <c r="F55" s="13"/>
      <c r="G55" s="14"/>
      <c r="H55" s="14"/>
      <c r="I55" s="2"/>
      <c r="J55" s="24" t="str">
        <f aca="false">設定!$B$5&amp;" 立替精算額（返金額）"</f>
        <v>従業員A 立替精算額（返金額）</v>
      </c>
      <c r="K55" s="24"/>
      <c r="L55" s="24"/>
      <c r="M55" s="25" t="n">
        <f aca="false">SUMIF(E9:E48,"○",C9:C48)+SUMIF(E9:E48,"○",H9:H48)</f>
        <v>45680</v>
      </c>
      <c r="N55" s="2"/>
      <c r="O55" s="2"/>
      <c r="P55" s="2"/>
      <c r="Q55" s="2"/>
    </row>
    <row r="56" customFormat="false" ht="15" hidden="false" customHeight="false" outlineLevel="0" collapsed="false">
      <c r="A56" s="12"/>
      <c r="B56" s="13"/>
      <c r="C56" s="13"/>
      <c r="D56" s="13"/>
      <c r="E56" s="13"/>
      <c r="F56" s="13"/>
      <c r="G56" s="14"/>
      <c r="H56" s="14"/>
      <c r="I56" s="2"/>
      <c r="J56" s="24" t="str">
        <f aca="false">設定!$B$6&amp;" 仕入れ合計"</f>
        <v>従業員B 仕入れ合計</v>
      </c>
      <c r="K56" s="24"/>
      <c r="L56" s="24"/>
      <c r="M56" s="25" t="n">
        <f aca="false">L49</f>
        <v>128000</v>
      </c>
      <c r="N56" s="2"/>
      <c r="O56" s="2"/>
      <c r="P56" s="2"/>
      <c r="Q56" s="2"/>
    </row>
    <row r="57" customFormat="false" ht="15" hidden="false" customHeight="false" outlineLevel="0" collapsed="false">
      <c r="A57" s="12"/>
      <c r="B57" s="13"/>
      <c r="C57" s="13"/>
      <c r="D57" s="13"/>
      <c r="E57" s="13"/>
      <c r="F57" s="13"/>
      <c r="G57" s="14"/>
      <c r="H57" s="14"/>
      <c r="I57" s="2"/>
      <c r="J57" s="24" t="str">
        <f aca="false">設定!$B$6&amp;" 交通費合計"</f>
        <v>従業員B 交通費合計</v>
      </c>
      <c r="K57" s="24"/>
      <c r="L57" s="24"/>
      <c r="M57" s="25" t="n">
        <f aca="false">Q49</f>
        <v>640</v>
      </c>
      <c r="N57" s="2"/>
      <c r="O57" s="2"/>
      <c r="P57" s="2"/>
      <c r="Q57" s="2"/>
    </row>
    <row r="58" customFormat="false" ht="15" hidden="false" customHeight="false" outlineLevel="0" collapsed="false">
      <c r="A58" s="12"/>
      <c r="B58" s="13"/>
      <c r="C58" s="13"/>
      <c r="D58" s="13"/>
      <c r="E58" s="13"/>
      <c r="F58" s="13"/>
      <c r="G58" s="14"/>
      <c r="H58" s="14"/>
      <c r="I58" s="2"/>
      <c r="J58" s="24" t="str">
        <f aca="false">設定!$B$6&amp;" 立替精算額（返金額）"</f>
        <v>従業員B 立替精算額（返金額）</v>
      </c>
      <c r="K58" s="24"/>
      <c r="L58" s="24"/>
      <c r="M58" s="25" t="n">
        <f aca="false">SUMIF(N9:N48,"○",L9:L48)+SUMIF(N9:N48,"○",Q9:Q48)</f>
        <v>0</v>
      </c>
      <c r="N58" s="2"/>
      <c r="O58" s="2"/>
      <c r="P58" s="2"/>
      <c r="Q58" s="2"/>
    </row>
    <row r="59" customFormat="false" ht="15" hidden="false" customHeight="false" outlineLevel="0" collapsed="false">
      <c r="A59" s="12"/>
      <c r="B59" s="13"/>
      <c r="C59" s="13"/>
      <c r="D59" s="13"/>
      <c r="E59" s="13"/>
      <c r="F59" s="13"/>
      <c r="G59" s="14"/>
      <c r="H59" s="14"/>
      <c r="I59" s="2"/>
      <c r="J59" s="24" t="str">
        <f aca="false">"共通経費　送料"</f>
        <v>共通経費　送料</v>
      </c>
      <c r="K59" s="24"/>
      <c r="L59" s="24"/>
      <c r="M59" s="25" t="n">
        <f aca="false">SUMIF(B53:B60,"送料",G53:G60)</f>
        <v>2600</v>
      </c>
      <c r="N59" s="2"/>
      <c r="O59" s="2"/>
      <c r="P59" s="2"/>
      <c r="Q59" s="2"/>
    </row>
    <row r="60" customFormat="false" ht="15" hidden="false" customHeight="false" outlineLevel="0" collapsed="false">
      <c r="A60" s="12"/>
      <c r="B60" s="13"/>
      <c r="C60" s="13"/>
      <c r="D60" s="13"/>
      <c r="E60" s="13"/>
      <c r="F60" s="13"/>
      <c r="G60" s="14"/>
      <c r="H60" s="14"/>
      <c r="I60" s="2"/>
      <c r="J60" s="24" t="str">
        <f aca="false">"共通経費　その他経費"</f>
        <v>共通経費　その他経費</v>
      </c>
      <c r="K60" s="24"/>
      <c r="L60" s="24"/>
      <c r="M60" s="25" t="n">
        <f aca="false">SUMIF(B53:B60,"その他経費",G53:G60)</f>
        <v>3480</v>
      </c>
      <c r="N60" s="2"/>
      <c r="O60" s="2"/>
      <c r="P60" s="2"/>
      <c r="Q60" s="2"/>
    </row>
    <row r="61" customFormat="false" ht="15" hidden="false" customHeight="false" outlineLevel="0" collapsed="false">
      <c r="A61" s="26" t="s">
        <v>34</v>
      </c>
      <c r="B61" s="26"/>
      <c r="C61" s="26"/>
      <c r="D61" s="26"/>
      <c r="E61" s="26"/>
      <c r="F61" s="26"/>
      <c r="G61" s="27" t="n">
        <f aca="false">SUM(G53:G60)</f>
        <v>6080</v>
      </c>
      <c r="H61" s="27"/>
      <c r="I61" s="2"/>
      <c r="J61" s="28" t="s">
        <v>35</v>
      </c>
      <c r="K61" s="28"/>
      <c r="L61" s="28"/>
      <c r="M61" s="29" t="n">
        <f aca="false">M53+M54+M56+M57+G61</f>
        <v>180400</v>
      </c>
      <c r="N61" s="2"/>
      <c r="O61" s="2"/>
      <c r="P61" s="2"/>
      <c r="Q61" s="2"/>
    </row>
  </sheetData>
  <mergeCells count="36">
    <mergeCell ref="A7:H7"/>
    <mergeCell ref="J7:Q7"/>
    <mergeCell ref="A49:B49"/>
    <mergeCell ref="J49:K49"/>
    <mergeCell ref="A51:H51"/>
    <mergeCell ref="J51:M51"/>
    <mergeCell ref="C52:F52"/>
    <mergeCell ref="G52:H52"/>
    <mergeCell ref="J52:L52"/>
    <mergeCell ref="C53:F53"/>
    <mergeCell ref="G53:H53"/>
    <mergeCell ref="J53:L53"/>
    <mergeCell ref="C54:F54"/>
    <mergeCell ref="G54:H54"/>
    <mergeCell ref="J54:L54"/>
    <mergeCell ref="C55:F55"/>
    <mergeCell ref="G55:H55"/>
    <mergeCell ref="J55:L55"/>
    <mergeCell ref="C56:F56"/>
    <mergeCell ref="G56:H56"/>
    <mergeCell ref="J56:L56"/>
    <mergeCell ref="C57:F57"/>
    <mergeCell ref="G57:H57"/>
    <mergeCell ref="J57:L57"/>
    <mergeCell ref="C58:F58"/>
    <mergeCell ref="G58:H58"/>
    <mergeCell ref="J58:L58"/>
    <mergeCell ref="C59:F59"/>
    <mergeCell ref="G59:H59"/>
    <mergeCell ref="J59:L59"/>
    <mergeCell ref="C60:F60"/>
    <mergeCell ref="G60:H60"/>
    <mergeCell ref="J60:L60"/>
    <mergeCell ref="A61:F61"/>
    <mergeCell ref="G61:H61"/>
    <mergeCell ref="J61:L61"/>
  </mergeCells>
  <dataValidations count="3">
    <dataValidation allowBlank="true" errorStyle="stop" operator="between" prompt="従業員が立て替えた行のみ ○ を入力してください。" promptTitle="立替" showDropDown="false" showErrorMessage="false" showInputMessage="false" sqref="E9:E48 N9:N48" type="list">
      <formula1>"○"</formula1>
      <formula2>0</formula2>
    </dataValidation>
    <dataValidation allowBlank="true" errorStyle="stop" operator="between" prompt="現金／クレジットカード等を選択してください。" promptTitle="支払方法" showDropDown="false" showErrorMessage="false" showInputMessage="false" sqref="D9:D48 M9:M48" type="list">
      <formula1>設定!$D$5:$D$10</formula1>
      <formula2>0</formula2>
    </dataValidation>
    <dataValidation allowBlank="true" errorStyle="stop" operator="between" prompt="送料／その他経費 を選択してください。" promptTitle="経費区分" showDropDown="false" showErrorMessage="false" showInputMessage="false" sqref="B53:B60" type="list">
      <formula1>設定!$F$5:$F$6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2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14"/>
    <col collapsed="false" customWidth="true" hidden="false" outlineLevel="0" max="14" min="14" style="0" width="6"/>
    <col collapsed="false" customWidth="true" hidden="false" outlineLevel="0" max="16" min="15" style="0" width="14"/>
    <col collapsed="false" customWidth="true" hidden="false" outlineLevel="0" max="17" min="17" style="0" width="12"/>
  </cols>
  <sheetData>
    <row r="1" customFormat="false" ht="19.4" hidden="false" customHeight="false" outlineLevel="0" collapsed="false">
      <c r="A1" s="1" t="s">
        <v>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4" t="str">
        <f aca="false">設定!$B$5</f>
        <v>従業員A</v>
      </c>
      <c r="B7" s="4"/>
      <c r="C7" s="4"/>
      <c r="D7" s="4"/>
      <c r="E7" s="4"/>
      <c r="F7" s="4"/>
      <c r="G7" s="4"/>
      <c r="H7" s="4"/>
      <c r="I7" s="2"/>
      <c r="J7" s="5" t="str">
        <f aca="false">設定!$B$6</f>
        <v>従業員B</v>
      </c>
      <c r="K7" s="5"/>
      <c r="L7" s="5"/>
      <c r="M7" s="5"/>
      <c r="N7" s="5"/>
      <c r="O7" s="5"/>
      <c r="P7" s="5"/>
      <c r="Q7" s="5"/>
    </row>
    <row r="8" customFormat="false" ht="31.5" hidden="false" customHeight="true" outlineLevel="0" collapsed="false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2"/>
      <c r="J8" s="7" t="s">
        <v>5</v>
      </c>
      <c r="K8" s="7" t="s">
        <v>6</v>
      </c>
      <c r="L8" s="7" t="s">
        <v>7</v>
      </c>
      <c r="M8" s="7" t="s">
        <v>8</v>
      </c>
      <c r="N8" s="7" t="s">
        <v>9</v>
      </c>
      <c r="O8" s="7" t="s">
        <v>10</v>
      </c>
      <c r="P8" s="7" t="s">
        <v>11</v>
      </c>
      <c r="Q8" s="7" t="s">
        <v>12</v>
      </c>
    </row>
    <row r="9" customFormat="false" ht="15" hidden="false" customHeight="false" outlineLevel="0" collapsed="false">
      <c r="A9" s="12"/>
      <c r="B9" s="13"/>
      <c r="C9" s="14"/>
      <c r="D9" s="13"/>
      <c r="E9" s="15"/>
      <c r="F9" s="13"/>
      <c r="G9" s="13"/>
      <c r="H9" s="14"/>
      <c r="I9" s="2"/>
      <c r="J9" s="12"/>
      <c r="K9" s="13"/>
      <c r="L9" s="14"/>
      <c r="M9" s="13"/>
      <c r="N9" s="15"/>
      <c r="O9" s="13"/>
      <c r="P9" s="13"/>
      <c r="Q9" s="14"/>
    </row>
    <row r="10" customFormat="false" ht="15" hidden="false" customHeight="false" outlineLevel="0" collapsed="false">
      <c r="A10" s="12"/>
      <c r="B10" s="13"/>
      <c r="C10" s="14"/>
      <c r="D10" s="13"/>
      <c r="E10" s="15"/>
      <c r="F10" s="13"/>
      <c r="G10" s="13"/>
      <c r="H10" s="14"/>
      <c r="I10" s="2"/>
      <c r="J10" s="12"/>
      <c r="K10" s="13"/>
      <c r="L10" s="14"/>
      <c r="M10" s="13"/>
      <c r="N10" s="15"/>
      <c r="O10" s="13"/>
      <c r="P10" s="13"/>
      <c r="Q10" s="14"/>
    </row>
    <row r="11" customFormat="false" ht="15" hidden="false" customHeight="false" outlineLevel="0" collapsed="false">
      <c r="A11" s="12"/>
      <c r="B11" s="13"/>
      <c r="C11" s="14"/>
      <c r="D11" s="13"/>
      <c r="E11" s="15"/>
      <c r="F11" s="13"/>
      <c r="G11" s="13"/>
      <c r="H11" s="14"/>
      <c r="I11" s="2"/>
      <c r="J11" s="12"/>
      <c r="K11" s="13"/>
      <c r="L11" s="14"/>
      <c r="M11" s="13"/>
      <c r="N11" s="15"/>
      <c r="O11" s="13"/>
      <c r="P11" s="13"/>
      <c r="Q11" s="14"/>
    </row>
    <row r="12" customFormat="false" ht="15" hidden="false" customHeight="false" outlineLevel="0" collapsed="false">
      <c r="A12" s="12"/>
      <c r="B12" s="13"/>
      <c r="C12" s="14"/>
      <c r="D12" s="13"/>
      <c r="E12" s="15"/>
      <c r="F12" s="13"/>
      <c r="G12" s="13"/>
      <c r="H12" s="14"/>
      <c r="I12" s="2"/>
      <c r="J12" s="12"/>
      <c r="K12" s="13"/>
      <c r="L12" s="14"/>
      <c r="M12" s="13"/>
      <c r="N12" s="15"/>
      <c r="O12" s="13"/>
      <c r="P12" s="13"/>
      <c r="Q12" s="14"/>
    </row>
    <row r="13" customFormat="false" ht="15" hidden="false" customHeight="false" outlineLevel="0" collapsed="false">
      <c r="A13" s="12"/>
      <c r="B13" s="13"/>
      <c r="C13" s="14"/>
      <c r="D13" s="13"/>
      <c r="E13" s="15"/>
      <c r="F13" s="13"/>
      <c r="G13" s="13"/>
      <c r="H13" s="14"/>
      <c r="I13" s="2"/>
      <c r="J13" s="12"/>
      <c r="K13" s="13"/>
      <c r="L13" s="14"/>
      <c r="M13" s="13"/>
      <c r="N13" s="15"/>
      <c r="O13" s="13"/>
      <c r="P13" s="13"/>
      <c r="Q13" s="14"/>
    </row>
    <row r="14" customFormat="false" ht="15" hidden="false" customHeight="false" outlineLevel="0" collapsed="false">
      <c r="A14" s="12"/>
      <c r="B14" s="13"/>
      <c r="C14" s="14"/>
      <c r="D14" s="13"/>
      <c r="E14" s="15"/>
      <c r="F14" s="13"/>
      <c r="G14" s="13"/>
      <c r="H14" s="14"/>
      <c r="I14" s="2"/>
      <c r="J14" s="12"/>
      <c r="K14" s="13"/>
      <c r="L14" s="14"/>
      <c r="M14" s="13"/>
      <c r="N14" s="15"/>
      <c r="O14" s="13"/>
      <c r="P14" s="13"/>
      <c r="Q14" s="14"/>
    </row>
    <row r="15" customFormat="false" ht="15" hidden="false" customHeight="false" outlineLevel="0" collapsed="false">
      <c r="A15" s="12"/>
      <c r="B15" s="13"/>
      <c r="C15" s="14"/>
      <c r="D15" s="13"/>
      <c r="E15" s="15"/>
      <c r="F15" s="13"/>
      <c r="G15" s="13"/>
      <c r="H15" s="14"/>
      <c r="I15" s="2"/>
      <c r="J15" s="12"/>
      <c r="K15" s="13"/>
      <c r="L15" s="14"/>
      <c r="M15" s="13"/>
      <c r="N15" s="15"/>
      <c r="O15" s="13"/>
      <c r="P15" s="13"/>
      <c r="Q15" s="14"/>
    </row>
    <row r="16" customFormat="false" ht="15" hidden="false" customHeight="false" outlineLevel="0" collapsed="false">
      <c r="A16" s="12"/>
      <c r="B16" s="13"/>
      <c r="C16" s="14"/>
      <c r="D16" s="13"/>
      <c r="E16" s="15"/>
      <c r="F16" s="13"/>
      <c r="G16" s="13"/>
      <c r="H16" s="14"/>
      <c r="I16" s="2"/>
      <c r="J16" s="12"/>
      <c r="K16" s="13"/>
      <c r="L16" s="14"/>
      <c r="M16" s="13"/>
      <c r="N16" s="15"/>
      <c r="O16" s="13"/>
      <c r="P16" s="13"/>
      <c r="Q16" s="14"/>
    </row>
    <row r="17" customFormat="false" ht="15" hidden="false" customHeight="false" outlineLevel="0" collapsed="false">
      <c r="A17" s="12"/>
      <c r="B17" s="13"/>
      <c r="C17" s="14"/>
      <c r="D17" s="13"/>
      <c r="E17" s="15"/>
      <c r="F17" s="13"/>
      <c r="G17" s="13"/>
      <c r="H17" s="14"/>
      <c r="I17" s="2"/>
      <c r="J17" s="12"/>
      <c r="K17" s="13"/>
      <c r="L17" s="14"/>
      <c r="M17" s="13"/>
      <c r="N17" s="15"/>
      <c r="O17" s="13"/>
      <c r="P17" s="13"/>
      <c r="Q17" s="14"/>
    </row>
    <row r="18" customFormat="false" ht="15" hidden="false" customHeight="false" outlineLevel="0" collapsed="false">
      <c r="A18" s="12"/>
      <c r="B18" s="13"/>
      <c r="C18" s="14"/>
      <c r="D18" s="13"/>
      <c r="E18" s="15"/>
      <c r="F18" s="13"/>
      <c r="G18" s="13"/>
      <c r="H18" s="14"/>
      <c r="I18" s="2"/>
      <c r="J18" s="12"/>
      <c r="K18" s="13"/>
      <c r="L18" s="14"/>
      <c r="M18" s="13"/>
      <c r="N18" s="15"/>
      <c r="O18" s="13"/>
      <c r="P18" s="13"/>
      <c r="Q18" s="14"/>
    </row>
    <row r="19" customFormat="false" ht="15" hidden="false" customHeight="false" outlineLevel="0" collapsed="false">
      <c r="A19" s="12"/>
      <c r="B19" s="13"/>
      <c r="C19" s="14"/>
      <c r="D19" s="13"/>
      <c r="E19" s="15"/>
      <c r="F19" s="13"/>
      <c r="G19" s="13"/>
      <c r="H19" s="14"/>
      <c r="I19" s="2"/>
      <c r="J19" s="12"/>
      <c r="K19" s="13"/>
      <c r="L19" s="14"/>
      <c r="M19" s="13"/>
      <c r="N19" s="15"/>
      <c r="O19" s="13"/>
      <c r="P19" s="13"/>
      <c r="Q19" s="14"/>
    </row>
    <row r="20" customFormat="false" ht="15" hidden="false" customHeight="false" outlineLevel="0" collapsed="false">
      <c r="A20" s="12"/>
      <c r="B20" s="13"/>
      <c r="C20" s="14"/>
      <c r="D20" s="13"/>
      <c r="E20" s="15"/>
      <c r="F20" s="13"/>
      <c r="G20" s="13"/>
      <c r="H20" s="14"/>
      <c r="I20" s="2"/>
      <c r="J20" s="12"/>
      <c r="K20" s="13"/>
      <c r="L20" s="14"/>
      <c r="M20" s="13"/>
      <c r="N20" s="15"/>
      <c r="O20" s="13"/>
      <c r="P20" s="13"/>
      <c r="Q20" s="14"/>
    </row>
    <row r="21" customFormat="false" ht="15" hidden="false" customHeight="false" outlineLevel="0" collapsed="false">
      <c r="A21" s="12"/>
      <c r="B21" s="13"/>
      <c r="C21" s="14"/>
      <c r="D21" s="13"/>
      <c r="E21" s="15"/>
      <c r="F21" s="13"/>
      <c r="G21" s="13"/>
      <c r="H21" s="14"/>
      <c r="I21" s="2"/>
      <c r="J21" s="12"/>
      <c r="K21" s="13"/>
      <c r="L21" s="14"/>
      <c r="M21" s="13"/>
      <c r="N21" s="15"/>
      <c r="O21" s="13"/>
      <c r="P21" s="13"/>
      <c r="Q21" s="14"/>
    </row>
    <row r="22" customFormat="false" ht="15" hidden="false" customHeight="false" outlineLevel="0" collapsed="false">
      <c r="A22" s="12"/>
      <c r="B22" s="13"/>
      <c r="C22" s="14"/>
      <c r="D22" s="13"/>
      <c r="E22" s="15"/>
      <c r="F22" s="13"/>
      <c r="G22" s="13"/>
      <c r="H22" s="14"/>
      <c r="I22" s="2"/>
      <c r="J22" s="12"/>
      <c r="K22" s="13"/>
      <c r="L22" s="14"/>
      <c r="M22" s="13"/>
      <c r="N22" s="15"/>
      <c r="O22" s="13"/>
      <c r="P22" s="13"/>
      <c r="Q22" s="14"/>
    </row>
    <row r="23" customFormat="false" ht="15" hidden="false" customHeight="false" outlineLevel="0" collapsed="false">
      <c r="A23" s="12"/>
      <c r="B23" s="13"/>
      <c r="C23" s="14"/>
      <c r="D23" s="13"/>
      <c r="E23" s="15"/>
      <c r="F23" s="13"/>
      <c r="G23" s="13"/>
      <c r="H23" s="14"/>
      <c r="I23" s="2"/>
      <c r="J23" s="12"/>
      <c r="K23" s="13"/>
      <c r="L23" s="14"/>
      <c r="M23" s="13"/>
      <c r="N23" s="15"/>
      <c r="O23" s="13"/>
      <c r="P23" s="13"/>
      <c r="Q23" s="14"/>
    </row>
    <row r="24" customFormat="false" ht="15" hidden="false" customHeight="false" outlineLevel="0" collapsed="false">
      <c r="A24" s="12"/>
      <c r="B24" s="13"/>
      <c r="C24" s="14"/>
      <c r="D24" s="13"/>
      <c r="E24" s="15"/>
      <c r="F24" s="13"/>
      <c r="G24" s="13"/>
      <c r="H24" s="14"/>
      <c r="I24" s="2"/>
      <c r="J24" s="12"/>
      <c r="K24" s="13"/>
      <c r="L24" s="14"/>
      <c r="M24" s="13"/>
      <c r="N24" s="15"/>
      <c r="O24" s="13"/>
      <c r="P24" s="13"/>
      <c r="Q24" s="14"/>
    </row>
    <row r="25" customFormat="false" ht="15" hidden="false" customHeight="false" outlineLevel="0" collapsed="false">
      <c r="A25" s="12"/>
      <c r="B25" s="13"/>
      <c r="C25" s="14"/>
      <c r="D25" s="13"/>
      <c r="E25" s="15"/>
      <c r="F25" s="13"/>
      <c r="G25" s="13"/>
      <c r="H25" s="14"/>
      <c r="I25" s="2"/>
      <c r="J25" s="12"/>
      <c r="K25" s="13"/>
      <c r="L25" s="14"/>
      <c r="M25" s="13"/>
      <c r="N25" s="15"/>
      <c r="O25" s="13"/>
      <c r="P25" s="13"/>
      <c r="Q25" s="14"/>
    </row>
    <row r="26" customFormat="false" ht="15" hidden="false" customHeight="false" outlineLevel="0" collapsed="false">
      <c r="A26" s="12"/>
      <c r="B26" s="13"/>
      <c r="C26" s="14"/>
      <c r="D26" s="13"/>
      <c r="E26" s="15"/>
      <c r="F26" s="13"/>
      <c r="G26" s="13"/>
      <c r="H26" s="14"/>
      <c r="I26" s="2"/>
      <c r="J26" s="12"/>
      <c r="K26" s="13"/>
      <c r="L26" s="14"/>
      <c r="M26" s="13"/>
      <c r="N26" s="15"/>
      <c r="O26" s="13"/>
      <c r="P26" s="13"/>
      <c r="Q26" s="14"/>
    </row>
    <row r="27" customFormat="false" ht="15" hidden="false" customHeight="false" outlineLevel="0" collapsed="false">
      <c r="A27" s="12"/>
      <c r="B27" s="13"/>
      <c r="C27" s="14"/>
      <c r="D27" s="13"/>
      <c r="E27" s="15"/>
      <c r="F27" s="13"/>
      <c r="G27" s="13"/>
      <c r="H27" s="14"/>
      <c r="I27" s="2"/>
      <c r="J27" s="12"/>
      <c r="K27" s="13"/>
      <c r="L27" s="14"/>
      <c r="M27" s="13"/>
      <c r="N27" s="15"/>
      <c r="O27" s="13"/>
      <c r="P27" s="13"/>
      <c r="Q27" s="14"/>
    </row>
    <row r="28" customFormat="false" ht="15" hidden="false" customHeight="false" outlineLevel="0" collapsed="false">
      <c r="A28" s="12"/>
      <c r="B28" s="13"/>
      <c r="C28" s="14"/>
      <c r="D28" s="13"/>
      <c r="E28" s="15"/>
      <c r="F28" s="13"/>
      <c r="G28" s="13"/>
      <c r="H28" s="14"/>
      <c r="I28" s="2"/>
      <c r="J28" s="12"/>
      <c r="K28" s="13"/>
      <c r="L28" s="14"/>
      <c r="M28" s="13"/>
      <c r="N28" s="15"/>
      <c r="O28" s="13"/>
      <c r="P28" s="13"/>
      <c r="Q28" s="14"/>
    </row>
    <row r="29" customFormat="false" ht="15" hidden="false" customHeight="false" outlineLevel="0" collapsed="false">
      <c r="A29" s="12"/>
      <c r="B29" s="13"/>
      <c r="C29" s="14"/>
      <c r="D29" s="13"/>
      <c r="E29" s="15"/>
      <c r="F29" s="13"/>
      <c r="G29" s="13"/>
      <c r="H29" s="14"/>
      <c r="I29" s="2"/>
      <c r="J29" s="12"/>
      <c r="K29" s="13"/>
      <c r="L29" s="14"/>
      <c r="M29" s="13"/>
      <c r="N29" s="15"/>
      <c r="O29" s="13"/>
      <c r="P29" s="13"/>
      <c r="Q29" s="14"/>
    </row>
    <row r="30" customFormat="false" ht="15" hidden="false" customHeight="false" outlineLevel="0" collapsed="false">
      <c r="A30" s="12"/>
      <c r="B30" s="13"/>
      <c r="C30" s="14"/>
      <c r="D30" s="13"/>
      <c r="E30" s="15"/>
      <c r="F30" s="13"/>
      <c r="G30" s="13"/>
      <c r="H30" s="14"/>
      <c r="I30" s="2"/>
      <c r="J30" s="12"/>
      <c r="K30" s="13"/>
      <c r="L30" s="14"/>
      <c r="M30" s="13"/>
      <c r="N30" s="15"/>
      <c r="O30" s="13"/>
      <c r="P30" s="13"/>
      <c r="Q30" s="14"/>
    </row>
    <row r="31" customFormat="false" ht="15" hidden="false" customHeight="false" outlineLevel="0" collapsed="false">
      <c r="A31" s="12"/>
      <c r="B31" s="13"/>
      <c r="C31" s="14"/>
      <c r="D31" s="13"/>
      <c r="E31" s="15"/>
      <c r="F31" s="13"/>
      <c r="G31" s="13"/>
      <c r="H31" s="14"/>
      <c r="I31" s="2"/>
      <c r="J31" s="12"/>
      <c r="K31" s="13"/>
      <c r="L31" s="14"/>
      <c r="M31" s="13"/>
      <c r="N31" s="15"/>
      <c r="O31" s="13"/>
      <c r="P31" s="13"/>
      <c r="Q31" s="14"/>
    </row>
    <row r="32" customFormat="false" ht="15" hidden="false" customHeight="false" outlineLevel="0" collapsed="false">
      <c r="A32" s="12"/>
      <c r="B32" s="13"/>
      <c r="C32" s="14"/>
      <c r="D32" s="13"/>
      <c r="E32" s="15"/>
      <c r="F32" s="13"/>
      <c r="G32" s="13"/>
      <c r="H32" s="14"/>
      <c r="I32" s="2"/>
      <c r="J32" s="12"/>
      <c r="K32" s="13"/>
      <c r="L32" s="14"/>
      <c r="M32" s="13"/>
      <c r="N32" s="15"/>
      <c r="O32" s="13"/>
      <c r="P32" s="13"/>
      <c r="Q32" s="14"/>
    </row>
    <row r="33" customFormat="false" ht="15" hidden="false" customHeight="false" outlineLevel="0" collapsed="false">
      <c r="A33" s="12"/>
      <c r="B33" s="13"/>
      <c r="C33" s="14"/>
      <c r="D33" s="13"/>
      <c r="E33" s="15"/>
      <c r="F33" s="13"/>
      <c r="G33" s="13"/>
      <c r="H33" s="14"/>
      <c r="I33" s="2"/>
      <c r="J33" s="12"/>
      <c r="K33" s="13"/>
      <c r="L33" s="14"/>
      <c r="M33" s="13"/>
      <c r="N33" s="15"/>
      <c r="O33" s="13"/>
      <c r="P33" s="13"/>
      <c r="Q33" s="14"/>
    </row>
    <row r="34" customFormat="false" ht="15" hidden="false" customHeight="false" outlineLevel="0" collapsed="false">
      <c r="A34" s="12"/>
      <c r="B34" s="13"/>
      <c r="C34" s="14"/>
      <c r="D34" s="13"/>
      <c r="E34" s="15"/>
      <c r="F34" s="13"/>
      <c r="G34" s="13"/>
      <c r="H34" s="14"/>
      <c r="I34" s="2"/>
      <c r="J34" s="12"/>
      <c r="K34" s="13"/>
      <c r="L34" s="14"/>
      <c r="M34" s="13"/>
      <c r="N34" s="15"/>
      <c r="O34" s="13"/>
      <c r="P34" s="13"/>
      <c r="Q34" s="14"/>
    </row>
    <row r="35" customFormat="false" ht="15" hidden="false" customHeight="false" outlineLevel="0" collapsed="false">
      <c r="A35" s="12"/>
      <c r="B35" s="13"/>
      <c r="C35" s="14"/>
      <c r="D35" s="13"/>
      <c r="E35" s="15"/>
      <c r="F35" s="13"/>
      <c r="G35" s="13"/>
      <c r="H35" s="14"/>
      <c r="I35" s="2"/>
      <c r="J35" s="12"/>
      <c r="K35" s="13"/>
      <c r="L35" s="14"/>
      <c r="M35" s="13"/>
      <c r="N35" s="15"/>
      <c r="O35" s="13"/>
      <c r="P35" s="13"/>
      <c r="Q35" s="14"/>
    </row>
    <row r="36" customFormat="false" ht="15" hidden="false" customHeight="false" outlineLevel="0" collapsed="false">
      <c r="A36" s="12"/>
      <c r="B36" s="13"/>
      <c r="C36" s="14"/>
      <c r="D36" s="13"/>
      <c r="E36" s="15"/>
      <c r="F36" s="13"/>
      <c r="G36" s="13"/>
      <c r="H36" s="14"/>
      <c r="I36" s="2"/>
      <c r="J36" s="12"/>
      <c r="K36" s="13"/>
      <c r="L36" s="14"/>
      <c r="M36" s="13"/>
      <c r="N36" s="15"/>
      <c r="O36" s="13"/>
      <c r="P36" s="13"/>
      <c r="Q36" s="14"/>
    </row>
    <row r="37" customFormat="false" ht="15" hidden="false" customHeight="false" outlineLevel="0" collapsed="false">
      <c r="A37" s="12"/>
      <c r="B37" s="13"/>
      <c r="C37" s="14"/>
      <c r="D37" s="13"/>
      <c r="E37" s="15"/>
      <c r="F37" s="13"/>
      <c r="G37" s="13"/>
      <c r="H37" s="14"/>
      <c r="I37" s="2"/>
      <c r="J37" s="12"/>
      <c r="K37" s="13"/>
      <c r="L37" s="14"/>
      <c r="M37" s="13"/>
      <c r="N37" s="15"/>
      <c r="O37" s="13"/>
      <c r="P37" s="13"/>
      <c r="Q37" s="14"/>
    </row>
    <row r="38" customFormat="false" ht="15" hidden="false" customHeight="false" outlineLevel="0" collapsed="false">
      <c r="A38" s="12"/>
      <c r="B38" s="13"/>
      <c r="C38" s="14"/>
      <c r="D38" s="13"/>
      <c r="E38" s="15"/>
      <c r="F38" s="13"/>
      <c r="G38" s="13"/>
      <c r="H38" s="14"/>
      <c r="I38" s="2"/>
      <c r="J38" s="12"/>
      <c r="K38" s="13"/>
      <c r="L38" s="14"/>
      <c r="M38" s="13"/>
      <c r="N38" s="15"/>
      <c r="O38" s="13"/>
      <c r="P38" s="13"/>
      <c r="Q38" s="14"/>
    </row>
    <row r="39" customFormat="false" ht="15" hidden="false" customHeight="false" outlineLevel="0" collapsed="false">
      <c r="A39" s="12"/>
      <c r="B39" s="13"/>
      <c r="C39" s="14"/>
      <c r="D39" s="13"/>
      <c r="E39" s="15"/>
      <c r="F39" s="13"/>
      <c r="G39" s="13"/>
      <c r="H39" s="14"/>
      <c r="I39" s="2"/>
      <c r="J39" s="12"/>
      <c r="K39" s="13"/>
      <c r="L39" s="14"/>
      <c r="M39" s="13"/>
      <c r="N39" s="15"/>
      <c r="O39" s="13"/>
      <c r="P39" s="13"/>
      <c r="Q39" s="14"/>
    </row>
    <row r="40" customFormat="false" ht="15" hidden="false" customHeight="false" outlineLevel="0" collapsed="false">
      <c r="A40" s="12"/>
      <c r="B40" s="13"/>
      <c r="C40" s="14"/>
      <c r="D40" s="13"/>
      <c r="E40" s="15"/>
      <c r="F40" s="13"/>
      <c r="G40" s="13"/>
      <c r="H40" s="14"/>
      <c r="I40" s="2"/>
      <c r="J40" s="12"/>
      <c r="K40" s="13"/>
      <c r="L40" s="14"/>
      <c r="M40" s="13"/>
      <c r="N40" s="15"/>
      <c r="O40" s="13"/>
      <c r="P40" s="13"/>
      <c r="Q40" s="14"/>
    </row>
    <row r="41" customFormat="false" ht="15" hidden="false" customHeight="false" outlineLevel="0" collapsed="false">
      <c r="A41" s="12"/>
      <c r="B41" s="13"/>
      <c r="C41" s="14"/>
      <c r="D41" s="13"/>
      <c r="E41" s="15"/>
      <c r="F41" s="13"/>
      <c r="G41" s="13"/>
      <c r="H41" s="14"/>
      <c r="I41" s="2"/>
      <c r="J41" s="12"/>
      <c r="K41" s="13"/>
      <c r="L41" s="14"/>
      <c r="M41" s="13"/>
      <c r="N41" s="15"/>
      <c r="O41" s="13"/>
      <c r="P41" s="13"/>
      <c r="Q41" s="14"/>
    </row>
    <row r="42" customFormat="false" ht="15" hidden="false" customHeight="false" outlineLevel="0" collapsed="false">
      <c r="A42" s="12"/>
      <c r="B42" s="13"/>
      <c r="C42" s="14"/>
      <c r="D42" s="13"/>
      <c r="E42" s="15"/>
      <c r="F42" s="13"/>
      <c r="G42" s="13"/>
      <c r="H42" s="14"/>
      <c r="I42" s="2"/>
      <c r="J42" s="12"/>
      <c r="K42" s="13"/>
      <c r="L42" s="14"/>
      <c r="M42" s="13"/>
      <c r="N42" s="15"/>
      <c r="O42" s="13"/>
      <c r="P42" s="13"/>
      <c r="Q42" s="14"/>
    </row>
    <row r="43" customFormat="false" ht="15" hidden="false" customHeight="false" outlineLevel="0" collapsed="false">
      <c r="A43" s="12"/>
      <c r="B43" s="13"/>
      <c r="C43" s="14"/>
      <c r="D43" s="13"/>
      <c r="E43" s="15"/>
      <c r="F43" s="13"/>
      <c r="G43" s="13"/>
      <c r="H43" s="14"/>
      <c r="I43" s="2"/>
      <c r="J43" s="12"/>
      <c r="K43" s="13"/>
      <c r="L43" s="14"/>
      <c r="M43" s="13"/>
      <c r="N43" s="15"/>
      <c r="O43" s="13"/>
      <c r="P43" s="13"/>
      <c r="Q43" s="14"/>
    </row>
    <row r="44" customFormat="false" ht="15" hidden="false" customHeight="false" outlineLevel="0" collapsed="false">
      <c r="A44" s="12"/>
      <c r="B44" s="13"/>
      <c r="C44" s="14"/>
      <c r="D44" s="13"/>
      <c r="E44" s="15"/>
      <c r="F44" s="13"/>
      <c r="G44" s="13"/>
      <c r="H44" s="14"/>
      <c r="I44" s="2"/>
      <c r="J44" s="12"/>
      <c r="K44" s="13"/>
      <c r="L44" s="14"/>
      <c r="M44" s="13"/>
      <c r="N44" s="15"/>
      <c r="O44" s="13"/>
      <c r="P44" s="13"/>
      <c r="Q44" s="14"/>
    </row>
    <row r="45" customFormat="false" ht="15" hidden="false" customHeight="false" outlineLevel="0" collapsed="false">
      <c r="A45" s="12"/>
      <c r="B45" s="13"/>
      <c r="C45" s="14"/>
      <c r="D45" s="13"/>
      <c r="E45" s="15"/>
      <c r="F45" s="13"/>
      <c r="G45" s="13"/>
      <c r="H45" s="14"/>
      <c r="I45" s="2"/>
      <c r="J45" s="12"/>
      <c r="K45" s="13"/>
      <c r="L45" s="14"/>
      <c r="M45" s="13"/>
      <c r="N45" s="15"/>
      <c r="O45" s="13"/>
      <c r="P45" s="13"/>
      <c r="Q45" s="14"/>
    </row>
    <row r="46" customFormat="false" ht="15" hidden="false" customHeight="false" outlineLevel="0" collapsed="false">
      <c r="A46" s="12"/>
      <c r="B46" s="13"/>
      <c r="C46" s="14"/>
      <c r="D46" s="13"/>
      <c r="E46" s="15"/>
      <c r="F46" s="13"/>
      <c r="G46" s="13"/>
      <c r="H46" s="14"/>
      <c r="I46" s="2"/>
      <c r="J46" s="12"/>
      <c r="K46" s="13"/>
      <c r="L46" s="14"/>
      <c r="M46" s="13"/>
      <c r="N46" s="15"/>
      <c r="O46" s="13"/>
      <c r="P46" s="13"/>
      <c r="Q46" s="14"/>
    </row>
    <row r="47" customFormat="false" ht="15" hidden="false" customHeight="false" outlineLevel="0" collapsed="false">
      <c r="A47" s="12"/>
      <c r="B47" s="13"/>
      <c r="C47" s="14"/>
      <c r="D47" s="13"/>
      <c r="E47" s="15"/>
      <c r="F47" s="13"/>
      <c r="G47" s="13"/>
      <c r="H47" s="14"/>
      <c r="I47" s="2"/>
      <c r="J47" s="12"/>
      <c r="K47" s="13"/>
      <c r="L47" s="14"/>
      <c r="M47" s="13"/>
      <c r="N47" s="15"/>
      <c r="O47" s="13"/>
      <c r="P47" s="13"/>
      <c r="Q47" s="14"/>
    </row>
    <row r="48" customFormat="false" ht="15" hidden="false" customHeight="false" outlineLevel="0" collapsed="false">
      <c r="A48" s="12"/>
      <c r="B48" s="13"/>
      <c r="C48" s="14"/>
      <c r="D48" s="13"/>
      <c r="E48" s="15"/>
      <c r="F48" s="13"/>
      <c r="G48" s="13"/>
      <c r="H48" s="14"/>
      <c r="I48" s="2"/>
      <c r="J48" s="12"/>
      <c r="K48" s="13"/>
      <c r="L48" s="14"/>
      <c r="M48" s="13"/>
      <c r="N48" s="15"/>
      <c r="O48" s="13"/>
      <c r="P48" s="13"/>
      <c r="Q48" s="14"/>
    </row>
    <row r="49" customFormat="false" ht="15" hidden="false" customHeight="false" outlineLevel="0" collapsed="false">
      <c r="A49" s="16" t="s">
        <v>22</v>
      </c>
      <c r="B49" s="16"/>
      <c r="C49" s="17" t="n">
        <f aca="false">SUM(C9:C48)</f>
        <v>0</v>
      </c>
      <c r="D49" s="18"/>
      <c r="E49" s="18"/>
      <c r="F49" s="18"/>
      <c r="G49" s="18"/>
      <c r="H49" s="17" t="n">
        <f aca="false">SUM(H9:H48)</f>
        <v>0</v>
      </c>
      <c r="I49" s="2"/>
      <c r="J49" s="19" t="s">
        <v>22</v>
      </c>
      <c r="K49" s="19"/>
      <c r="L49" s="20" t="n">
        <f aca="false">SUM(L9:L48)</f>
        <v>0</v>
      </c>
      <c r="M49" s="21"/>
      <c r="N49" s="21"/>
      <c r="O49" s="21"/>
      <c r="P49" s="21"/>
      <c r="Q49" s="20" t="n">
        <f aca="false">SUM(Q9:Q48)</f>
        <v>0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customFormat="false" ht="15" hidden="false" customHeight="false" outlineLevel="0" collapsed="false">
      <c r="A51" s="22" t="s">
        <v>24</v>
      </c>
      <c r="B51" s="22"/>
      <c r="C51" s="22"/>
      <c r="D51" s="22"/>
      <c r="E51" s="22"/>
      <c r="F51" s="22"/>
      <c r="G51" s="22"/>
      <c r="H51" s="22"/>
      <c r="I51" s="2"/>
      <c r="J51" s="23" t="s">
        <v>25</v>
      </c>
      <c r="K51" s="23"/>
      <c r="L51" s="23"/>
      <c r="M51" s="23"/>
      <c r="N51" s="2"/>
      <c r="O51" s="2"/>
      <c r="P51" s="2"/>
      <c r="Q51" s="2"/>
    </row>
    <row r="52" customFormat="false" ht="15" hidden="false" customHeight="false" outlineLevel="0" collapsed="false">
      <c r="A52" s="22" t="s">
        <v>5</v>
      </c>
      <c r="B52" s="22" t="s">
        <v>26</v>
      </c>
      <c r="C52" s="22" t="s">
        <v>27</v>
      </c>
      <c r="D52" s="22"/>
      <c r="E52" s="22"/>
      <c r="F52" s="22"/>
      <c r="G52" s="22" t="s">
        <v>28</v>
      </c>
      <c r="H52" s="22"/>
      <c r="I52" s="2"/>
      <c r="J52" s="23" t="s">
        <v>29</v>
      </c>
      <c r="K52" s="23"/>
      <c r="L52" s="23"/>
      <c r="M52" s="23" t="s">
        <v>28</v>
      </c>
      <c r="N52" s="2"/>
      <c r="O52" s="2"/>
      <c r="P52" s="2"/>
      <c r="Q52" s="2"/>
    </row>
    <row r="53" customFormat="false" ht="15" hidden="false" customHeight="false" outlineLevel="0" collapsed="false">
      <c r="A53" s="12"/>
      <c r="B53" s="13"/>
      <c r="C53" s="13"/>
      <c r="D53" s="13"/>
      <c r="E53" s="13"/>
      <c r="F53" s="13"/>
      <c r="G53" s="14"/>
      <c r="H53" s="14"/>
      <c r="I53" s="2"/>
      <c r="J53" s="24" t="str">
        <f aca="false">設定!$B$5&amp;" 仕入れ合計"</f>
        <v>従業員A 仕入れ合計</v>
      </c>
      <c r="K53" s="24"/>
      <c r="L53" s="24"/>
      <c r="M53" s="25" t="n">
        <f aca="false">C49</f>
        <v>0</v>
      </c>
      <c r="N53" s="2"/>
      <c r="O53" s="2"/>
      <c r="P53" s="2"/>
      <c r="Q53" s="2"/>
    </row>
    <row r="54" customFormat="false" ht="15" hidden="false" customHeight="false" outlineLevel="0" collapsed="false">
      <c r="A54" s="12"/>
      <c r="B54" s="13"/>
      <c r="C54" s="13"/>
      <c r="D54" s="13"/>
      <c r="E54" s="13"/>
      <c r="F54" s="13"/>
      <c r="G54" s="14"/>
      <c r="H54" s="14"/>
      <c r="I54" s="2"/>
      <c r="J54" s="24" t="str">
        <f aca="false">設定!$B$5&amp;" 交通費合計"</f>
        <v>従業員A 交通費合計</v>
      </c>
      <c r="K54" s="24"/>
      <c r="L54" s="24"/>
      <c r="M54" s="25" t="n">
        <f aca="false">H49</f>
        <v>0</v>
      </c>
      <c r="N54" s="2"/>
      <c r="O54" s="2"/>
      <c r="P54" s="2"/>
      <c r="Q54" s="2"/>
    </row>
    <row r="55" customFormat="false" ht="15" hidden="false" customHeight="false" outlineLevel="0" collapsed="false">
      <c r="A55" s="12"/>
      <c r="B55" s="13"/>
      <c r="C55" s="13"/>
      <c r="D55" s="13"/>
      <c r="E55" s="13"/>
      <c r="F55" s="13"/>
      <c r="G55" s="14"/>
      <c r="H55" s="14"/>
      <c r="I55" s="2"/>
      <c r="J55" s="24" t="str">
        <f aca="false">設定!$B$5&amp;" 立替精算額（返金額）"</f>
        <v>従業員A 立替精算額（返金額）</v>
      </c>
      <c r="K55" s="24"/>
      <c r="L55" s="24"/>
      <c r="M55" s="25" t="n">
        <f aca="false">SUMIF(E9:E48,"○",C9:C48)+SUMIF(E9:E48,"○",H9:H48)</f>
        <v>0</v>
      </c>
      <c r="N55" s="2"/>
      <c r="O55" s="2"/>
      <c r="P55" s="2"/>
      <c r="Q55" s="2"/>
    </row>
    <row r="56" customFormat="false" ht="15" hidden="false" customHeight="false" outlineLevel="0" collapsed="false">
      <c r="A56" s="12"/>
      <c r="B56" s="13"/>
      <c r="C56" s="13"/>
      <c r="D56" s="13"/>
      <c r="E56" s="13"/>
      <c r="F56" s="13"/>
      <c r="G56" s="14"/>
      <c r="H56" s="14"/>
      <c r="I56" s="2"/>
      <c r="J56" s="24" t="str">
        <f aca="false">設定!$B$6&amp;" 仕入れ合計"</f>
        <v>従業員B 仕入れ合計</v>
      </c>
      <c r="K56" s="24"/>
      <c r="L56" s="24"/>
      <c r="M56" s="25" t="n">
        <f aca="false">L49</f>
        <v>0</v>
      </c>
      <c r="N56" s="2"/>
      <c r="O56" s="2"/>
      <c r="P56" s="2"/>
      <c r="Q56" s="2"/>
    </row>
    <row r="57" customFormat="false" ht="15" hidden="false" customHeight="false" outlineLevel="0" collapsed="false">
      <c r="A57" s="12"/>
      <c r="B57" s="13"/>
      <c r="C57" s="13"/>
      <c r="D57" s="13"/>
      <c r="E57" s="13"/>
      <c r="F57" s="13"/>
      <c r="G57" s="14"/>
      <c r="H57" s="14"/>
      <c r="I57" s="2"/>
      <c r="J57" s="24" t="str">
        <f aca="false">設定!$B$6&amp;" 交通費合計"</f>
        <v>従業員B 交通費合計</v>
      </c>
      <c r="K57" s="24"/>
      <c r="L57" s="24"/>
      <c r="M57" s="25" t="n">
        <f aca="false">Q49</f>
        <v>0</v>
      </c>
      <c r="N57" s="2"/>
      <c r="O57" s="2"/>
      <c r="P57" s="2"/>
      <c r="Q57" s="2"/>
    </row>
    <row r="58" customFormat="false" ht="15" hidden="false" customHeight="false" outlineLevel="0" collapsed="false">
      <c r="A58" s="12"/>
      <c r="B58" s="13"/>
      <c r="C58" s="13"/>
      <c r="D58" s="13"/>
      <c r="E58" s="13"/>
      <c r="F58" s="13"/>
      <c r="G58" s="14"/>
      <c r="H58" s="14"/>
      <c r="I58" s="2"/>
      <c r="J58" s="24" t="str">
        <f aca="false">設定!$B$6&amp;" 立替精算額（返金額）"</f>
        <v>従業員B 立替精算額（返金額）</v>
      </c>
      <c r="K58" s="24"/>
      <c r="L58" s="24"/>
      <c r="M58" s="25" t="n">
        <f aca="false">SUMIF(N9:N48,"○",L9:L48)+SUMIF(N9:N48,"○",Q9:Q48)</f>
        <v>0</v>
      </c>
      <c r="N58" s="2"/>
      <c r="O58" s="2"/>
      <c r="P58" s="2"/>
      <c r="Q58" s="2"/>
    </row>
    <row r="59" customFormat="false" ht="15" hidden="false" customHeight="false" outlineLevel="0" collapsed="false">
      <c r="A59" s="12"/>
      <c r="B59" s="13"/>
      <c r="C59" s="13"/>
      <c r="D59" s="13"/>
      <c r="E59" s="13"/>
      <c r="F59" s="13"/>
      <c r="G59" s="14"/>
      <c r="H59" s="14"/>
      <c r="I59" s="2"/>
      <c r="J59" s="24" t="str">
        <f aca="false">"共通経費　送料"</f>
        <v>共通経費　送料</v>
      </c>
      <c r="K59" s="24"/>
      <c r="L59" s="24"/>
      <c r="M59" s="25" t="n">
        <f aca="false">SUMIF(B53:B60,"送料",G53:G60)</f>
        <v>0</v>
      </c>
      <c r="N59" s="2"/>
      <c r="O59" s="2"/>
      <c r="P59" s="2"/>
      <c r="Q59" s="2"/>
    </row>
    <row r="60" customFormat="false" ht="15" hidden="false" customHeight="false" outlineLevel="0" collapsed="false">
      <c r="A60" s="12"/>
      <c r="B60" s="13"/>
      <c r="C60" s="13"/>
      <c r="D60" s="13"/>
      <c r="E60" s="13"/>
      <c r="F60" s="13"/>
      <c r="G60" s="14"/>
      <c r="H60" s="14"/>
      <c r="I60" s="2"/>
      <c r="J60" s="24" t="str">
        <f aca="false">"共通経費　その他経費"</f>
        <v>共通経費　その他経費</v>
      </c>
      <c r="K60" s="24"/>
      <c r="L60" s="24"/>
      <c r="M60" s="25" t="n">
        <f aca="false">SUMIF(B53:B60,"その他経費",G53:G60)</f>
        <v>0</v>
      </c>
      <c r="N60" s="2"/>
      <c r="O60" s="2"/>
      <c r="P60" s="2"/>
      <c r="Q60" s="2"/>
    </row>
    <row r="61" customFormat="false" ht="15" hidden="false" customHeight="false" outlineLevel="0" collapsed="false">
      <c r="A61" s="26" t="s">
        <v>34</v>
      </c>
      <c r="B61" s="26"/>
      <c r="C61" s="26"/>
      <c r="D61" s="26"/>
      <c r="E61" s="26"/>
      <c r="F61" s="26"/>
      <c r="G61" s="27" t="n">
        <f aca="false">SUM(G53:G60)</f>
        <v>0</v>
      </c>
      <c r="H61" s="27"/>
      <c r="I61" s="2"/>
      <c r="J61" s="28" t="s">
        <v>35</v>
      </c>
      <c r="K61" s="28"/>
      <c r="L61" s="28"/>
      <c r="M61" s="29" t="n">
        <f aca="false">M53+M54+M56+M57+G61</f>
        <v>0</v>
      </c>
      <c r="N61" s="2"/>
      <c r="O61" s="2"/>
      <c r="P61" s="2"/>
      <c r="Q61" s="2"/>
    </row>
  </sheetData>
  <mergeCells count="36">
    <mergeCell ref="A7:H7"/>
    <mergeCell ref="J7:Q7"/>
    <mergeCell ref="A49:B49"/>
    <mergeCell ref="J49:K49"/>
    <mergeCell ref="A51:H51"/>
    <mergeCell ref="J51:M51"/>
    <mergeCell ref="C52:F52"/>
    <mergeCell ref="G52:H52"/>
    <mergeCell ref="J52:L52"/>
    <mergeCell ref="C53:F53"/>
    <mergeCell ref="G53:H53"/>
    <mergeCell ref="J53:L53"/>
    <mergeCell ref="C54:F54"/>
    <mergeCell ref="G54:H54"/>
    <mergeCell ref="J54:L54"/>
    <mergeCell ref="C55:F55"/>
    <mergeCell ref="G55:H55"/>
    <mergeCell ref="J55:L55"/>
    <mergeCell ref="C56:F56"/>
    <mergeCell ref="G56:H56"/>
    <mergeCell ref="J56:L56"/>
    <mergeCell ref="C57:F57"/>
    <mergeCell ref="G57:H57"/>
    <mergeCell ref="J57:L57"/>
    <mergeCell ref="C58:F58"/>
    <mergeCell ref="G58:H58"/>
    <mergeCell ref="J58:L58"/>
    <mergeCell ref="C59:F59"/>
    <mergeCell ref="G59:H59"/>
    <mergeCell ref="J59:L59"/>
    <mergeCell ref="C60:F60"/>
    <mergeCell ref="G60:H60"/>
    <mergeCell ref="J60:L60"/>
    <mergeCell ref="A61:F61"/>
    <mergeCell ref="G61:H61"/>
    <mergeCell ref="J61:L61"/>
  </mergeCells>
  <dataValidations count="3">
    <dataValidation allowBlank="true" errorStyle="stop" operator="between" prompt="従業員が立て替えた行のみ ○ を入力してください。" promptTitle="立替" showDropDown="false" showErrorMessage="false" showInputMessage="false" sqref="E9:E48 N9:N48" type="list">
      <formula1>"○"</formula1>
      <formula2>0</formula2>
    </dataValidation>
    <dataValidation allowBlank="true" errorStyle="stop" operator="between" prompt="現金／クレジットカード等を選択してください。" promptTitle="支払方法" showDropDown="false" showErrorMessage="false" showInputMessage="false" sqref="D9:D48 M9:M48" type="list">
      <formula1>設定!$D$5:$D$10</formula1>
      <formula2>0</formula2>
    </dataValidation>
    <dataValidation allowBlank="true" errorStyle="stop" operator="between" prompt="送料／その他経費 を選択してください。" promptTitle="経費区分" showDropDown="false" showErrorMessage="false" showInputMessage="false" sqref="B53:B60" type="list">
      <formula1>設定!$F$5:$F$6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2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14"/>
    <col collapsed="false" customWidth="true" hidden="false" outlineLevel="0" max="14" min="14" style="0" width="6"/>
    <col collapsed="false" customWidth="true" hidden="false" outlineLevel="0" max="16" min="15" style="0" width="14"/>
    <col collapsed="false" customWidth="true" hidden="false" outlineLevel="0" max="17" min="17" style="0" width="12"/>
  </cols>
  <sheetData>
    <row r="1" customFormat="false" ht="19.4" hidden="false" customHeight="false" outlineLevel="0" collapsed="false">
      <c r="A1" s="1" t="s">
        <v>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4" t="str">
        <f aca="false">設定!$B$5</f>
        <v>従業員A</v>
      </c>
      <c r="B7" s="4"/>
      <c r="C7" s="4"/>
      <c r="D7" s="4"/>
      <c r="E7" s="4"/>
      <c r="F7" s="4"/>
      <c r="G7" s="4"/>
      <c r="H7" s="4"/>
      <c r="I7" s="2"/>
      <c r="J7" s="5" t="str">
        <f aca="false">設定!$B$6</f>
        <v>従業員B</v>
      </c>
      <c r="K7" s="5"/>
      <c r="L7" s="5"/>
      <c r="M7" s="5"/>
      <c r="N7" s="5"/>
      <c r="O7" s="5"/>
      <c r="P7" s="5"/>
      <c r="Q7" s="5"/>
    </row>
    <row r="8" customFormat="false" ht="31.5" hidden="false" customHeight="true" outlineLevel="0" collapsed="false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2"/>
      <c r="J8" s="7" t="s">
        <v>5</v>
      </c>
      <c r="K8" s="7" t="s">
        <v>6</v>
      </c>
      <c r="L8" s="7" t="s">
        <v>7</v>
      </c>
      <c r="M8" s="7" t="s">
        <v>8</v>
      </c>
      <c r="N8" s="7" t="s">
        <v>9</v>
      </c>
      <c r="O8" s="7" t="s">
        <v>10</v>
      </c>
      <c r="P8" s="7" t="s">
        <v>11</v>
      </c>
      <c r="Q8" s="7" t="s">
        <v>12</v>
      </c>
    </row>
    <row r="9" customFormat="false" ht="15" hidden="false" customHeight="false" outlineLevel="0" collapsed="false">
      <c r="A9" s="12"/>
      <c r="B9" s="13"/>
      <c r="C9" s="14"/>
      <c r="D9" s="13"/>
      <c r="E9" s="15"/>
      <c r="F9" s="13"/>
      <c r="G9" s="13"/>
      <c r="H9" s="14"/>
      <c r="I9" s="2"/>
      <c r="J9" s="12"/>
      <c r="K9" s="13"/>
      <c r="L9" s="14"/>
      <c r="M9" s="13"/>
      <c r="N9" s="15"/>
      <c r="O9" s="13"/>
      <c r="P9" s="13"/>
      <c r="Q9" s="14"/>
    </row>
    <row r="10" customFormat="false" ht="15" hidden="false" customHeight="false" outlineLevel="0" collapsed="false">
      <c r="A10" s="12"/>
      <c r="B10" s="13"/>
      <c r="C10" s="14"/>
      <c r="D10" s="13"/>
      <c r="E10" s="15"/>
      <c r="F10" s="13"/>
      <c r="G10" s="13"/>
      <c r="H10" s="14"/>
      <c r="I10" s="2"/>
      <c r="J10" s="12"/>
      <c r="K10" s="13"/>
      <c r="L10" s="14"/>
      <c r="M10" s="13"/>
      <c r="N10" s="15"/>
      <c r="O10" s="13"/>
      <c r="P10" s="13"/>
      <c r="Q10" s="14"/>
    </row>
    <row r="11" customFormat="false" ht="15" hidden="false" customHeight="false" outlineLevel="0" collapsed="false">
      <c r="A11" s="12"/>
      <c r="B11" s="13"/>
      <c r="C11" s="14"/>
      <c r="D11" s="13"/>
      <c r="E11" s="15"/>
      <c r="F11" s="13"/>
      <c r="G11" s="13"/>
      <c r="H11" s="14"/>
      <c r="I11" s="2"/>
      <c r="J11" s="12"/>
      <c r="K11" s="13"/>
      <c r="L11" s="14"/>
      <c r="M11" s="13"/>
      <c r="N11" s="15"/>
      <c r="O11" s="13"/>
      <c r="P11" s="13"/>
      <c r="Q11" s="14"/>
    </row>
    <row r="12" customFormat="false" ht="15" hidden="false" customHeight="false" outlineLevel="0" collapsed="false">
      <c r="A12" s="12"/>
      <c r="B12" s="13"/>
      <c r="C12" s="14"/>
      <c r="D12" s="13"/>
      <c r="E12" s="15"/>
      <c r="F12" s="13"/>
      <c r="G12" s="13"/>
      <c r="H12" s="14"/>
      <c r="I12" s="2"/>
      <c r="J12" s="12"/>
      <c r="K12" s="13"/>
      <c r="L12" s="14"/>
      <c r="M12" s="13"/>
      <c r="N12" s="15"/>
      <c r="O12" s="13"/>
      <c r="P12" s="13"/>
      <c r="Q12" s="14"/>
    </row>
    <row r="13" customFormat="false" ht="15" hidden="false" customHeight="false" outlineLevel="0" collapsed="false">
      <c r="A13" s="12"/>
      <c r="B13" s="13"/>
      <c r="C13" s="14"/>
      <c r="D13" s="13"/>
      <c r="E13" s="15"/>
      <c r="F13" s="13"/>
      <c r="G13" s="13"/>
      <c r="H13" s="14"/>
      <c r="I13" s="2"/>
      <c r="J13" s="12"/>
      <c r="K13" s="13"/>
      <c r="L13" s="14"/>
      <c r="M13" s="13"/>
      <c r="N13" s="15"/>
      <c r="O13" s="13"/>
      <c r="P13" s="13"/>
      <c r="Q13" s="14"/>
    </row>
    <row r="14" customFormat="false" ht="15" hidden="false" customHeight="false" outlineLevel="0" collapsed="false">
      <c r="A14" s="12"/>
      <c r="B14" s="13"/>
      <c r="C14" s="14"/>
      <c r="D14" s="13"/>
      <c r="E14" s="15"/>
      <c r="F14" s="13"/>
      <c r="G14" s="13"/>
      <c r="H14" s="14"/>
      <c r="I14" s="2"/>
      <c r="J14" s="12"/>
      <c r="K14" s="13"/>
      <c r="L14" s="14"/>
      <c r="M14" s="13"/>
      <c r="N14" s="15"/>
      <c r="O14" s="13"/>
      <c r="P14" s="13"/>
      <c r="Q14" s="14"/>
    </row>
    <row r="15" customFormat="false" ht="15" hidden="false" customHeight="false" outlineLevel="0" collapsed="false">
      <c r="A15" s="12"/>
      <c r="B15" s="13"/>
      <c r="C15" s="14"/>
      <c r="D15" s="13"/>
      <c r="E15" s="15"/>
      <c r="F15" s="13"/>
      <c r="G15" s="13"/>
      <c r="H15" s="14"/>
      <c r="I15" s="2"/>
      <c r="J15" s="12"/>
      <c r="K15" s="13"/>
      <c r="L15" s="14"/>
      <c r="M15" s="13"/>
      <c r="N15" s="15"/>
      <c r="O15" s="13"/>
      <c r="P15" s="13"/>
      <c r="Q15" s="14"/>
    </row>
    <row r="16" customFormat="false" ht="15" hidden="false" customHeight="false" outlineLevel="0" collapsed="false">
      <c r="A16" s="12"/>
      <c r="B16" s="13"/>
      <c r="C16" s="14"/>
      <c r="D16" s="13"/>
      <c r="E16" s="15"/>
      <c r="F16" s="13"/>
      <c r="G16" s="13"/>
      <c r="H16" s="14"/>
      <c r="I16" s="2"/>
      <c r="J16" s="12"/>
      <c r="K16" s="13"/>
      <c r="L16" s="14"/>
      <c r="M16" s="13"/>
      <c r="N16" s="15"/>
      <c r="O16" s="13"/>
      <c r="P16" s="13"/>
      <c r="Q16" s="14"/>
    </row>
    <row r="17" customFormat="false" ht="15" hidden="false" customHeight="false" outlineLevel="0" collapsed="false">
      <c r="A17" s="12"/>
      <c r="B17" s="13"/>
      <c r="C17" s="14"/>
      <c r="D17" s="13"/>
      <c r="E17" s="15"/>
      <c r="F17" s="13"/>
      <c r="G17" s="13"/>
      <c r="H17" s="14"/>
      <c r="I17" s="2"/>
      <c r="J17" s="12"/>
      <c r="K17" s="13"/>
      <c r="L17" s="14"/>
      <c r="M17" s="13"/>
      <c r="N17" s="15"/>
      <c r="O17" s="13"/>
      <c r="P17" s="13"/>
      <c r="Q17" s="14"/>
    </row>
    <row r="18" customFormat="false" ht="15" hidden="false" customHeight="false" outlineLevel="0" collapsed="false">
      <c r="A18" s="12"/>
      <c r="B18" s="13"/>
      <c r="C18" s="14"/>
      <c r="D18" s="13"/>
      <c r="E18" s="15"/>
      <c r="F18" s="13"/>
      <c r="G18" s="13"/>
      <c r="H18" s="14"/>
      <c r="I18" s="2"/>
      <c r="J18" s="12"/>
      <c r="K18" s="13"/>
      <c r="L18" s="14"/>
      <c r="M18" s="13"/>
      <c r="N18" s="15"/>
      <c r="O18" s="13"/>
      <c r="P18" s="13"/>
      <c r="Q18" s="14"/>
    </row>
    <row r="19" customFormat="false" ht="15" hidden="false" customHeight="false" outlineLevel="0" collapsed="false">
      <c r="A19" s="12"/>
      <c r="B19" s="13"/>
      <c r="C19" s="14"/>
      <c r="D19" s="13"/>
      <c r="E19" s="15"/>
      <c r="F19" s="13"/>
      <c r="G19" s="13"/>
      <c r="H19" s="14"/>
      <c r="I19" s="2"/>
      <c r="J19" s="12"/>
      <c r="K19" s="13"/>
      <c r="L19" s="14"/>
      <c r="M19" s="13"/>
      <c r="N19" s="15"/>
      <c r="O19" s="13"/>
      <c r="P19" s="13"/>
      <c r="Q19" s="14"/>
    </row>
    <row r="20" customFormat="false" ht="15" hidden="false" customHeight="false" outlineLevel="0" collapsed="false">
      <c r="A20" s="12"/>
      <c r="B20" s="13"/>
      <c r="C20" s="14"/>
      <c r="D20" s="13"/>
      <c r="E20" s="15"/>
      <c r="F20" s="13"/>
      <c r="G20" s="13"/>
      <c r="H20" s="14"/>
      <c r="I20" s="2"/>
      <c r="J20" s="12"/>
      <c r="K20" s="13"/>
      <c r="L20" s="14"/>
      <c r="M20" s="13"/>
      <c r="N20" s="15"/>
      <c r="O20" s="13"/>
      <c r="P20" s="13"/>
      <c r="Q20" s="14"/>
    </row>
    <row r="21" customFormat="false" ht="15" hidden="false" customHeight="false" outlineLevel="0" collapsed="false">
      <c r="A21" s="12"/>
      <c r="B21" s="13"/>
      <c r="C21" s="14"/>
      <c r="D21" s="13"/>
      <c r="E21" s="15"/>
      <c r="F21" s="13"/>
      <c r="G21" s="13"/>
      <c r="H21" s="14"/>
      <c r="I21" s="2"/>
      <c r="J21" s="12"/>
      <c r="K21" s="13"/>
      <c r="L21" s="14"/>
      <c r="M21" s="13"/>
      <c r="N21" s="15"/>
      <c r="O21" s="13"/>
      <c r="P21" s="13"/>
      <c r="Q21" s="14"/>
    </row>
    <row r="22" customFormat="false" ht="15" hidden="false" customHeight="false" outlineLevel="0" collapsed="false">
      <c r="A22" s="12"/>
      <c r="B22" s="13"/>
      <c r="C22" s="14"/>
      <c r="D22" s="13"/>
      <c r="E22" s="15"/>
      <c r="F22" s="13"/>
      <c r="G22" s="13"/>
      <c r="H22" s="14"/>
      <c r="I22" s="2"/>
      <c r="J22" s="12"/>
      <c r="K22" s="13"/>
      <c r="L22" s="14"/>
      <c r="M22" s="13"/>
      <c r="N22" s="15"/>
      <c r="O22" s="13"/>
      <c r="P22" s="13"/>
      <c r="Q22" s="14"/>
    </row>
    <row r="23" customFormat="false" ht="15" hidden="false" customHeight="false" outlineLevel="0" collapsed="false">
      <c r="A23" s="12"/>
      <c r="B23" s="13"/>
      <c r="C23" s="14"/>
      <c r="D23" s="13"/>
      <c r="E23" s="15"/>
      <c r="F23" s="13"/>
      <c r="G23" s="13"/>
      <c r="H23" s="14"/>
      <c r="I23" s="2"/>
      <c r="J23" s="12"/>
      <c r="K23" s="13"/>
      <c r="L23" s="14"/>
      <c r="M23" s="13"/>
      <c r="N23" s="15"/>
      <c r="O23" s="13"/>
      <c r="P23" s="13"/>
      <c r="Q23" s="14"/>
    </row>
    <row r="24" customFormat="false" ht="15" hidden="false" customHeight="false" outlineLevel="0" collapsed="false">
      <c r="A24" s="12"/>
      <c r="B24" s="13"/>
      <c r="C24" s="14"/>
      <c r="D24" s="13"/>
      <c r="E24" s="15"/>
      <c r="F24" s="13"/>
      <c r="G24" s="13"/>
      <c r="H24" s="14"/>
      <c r="I24" s="2"/>
      <c r="J24" s="12"/>
      <c r="K24" s="13"/>
      <c r="L24" s="14"/>
      <c r="M24" s="13"/>
      <c r="N24" s="15"/>
      <c r="O24" s="13"/>
      <c r="P24" s="13"/>
      <c r="Q24" s="14"/>
    </row>
    <row r="25" customFormat="false" ht="15" hidden="false" customHeight="false" outlineLevel="0" collapsed="false">
      <c r="A25" s="12"/>
      <c r="B25" s="13"/>
      <c r="C25" s="14"/>
      <c r="D25" s="13"/>
      <c r="E25" s="15"/>
      <c r="F25" s="13"/>
      <c r="G25" s="13"/>
      <c r="H25" s="14"/>
      <c r="I25" s="2"/>
      <c r="J25" s="12"/>
      <c r="K25" s="13"/>
      <c r="L25" s="14"/>
      <c r="M25" s="13"/>
      <c r="N25" s="15"/>
      <c r="O25" s="13"/>
      <c r="P25" s="13"/>
      <c r="Q25" s="14"/>
    </row>
    <row r="26" customFormat="false" ht="15" hidden="false" customHeight="false" outlineLevel="0" collapsed="false">
      <c r="A26" s="12"/>
      <c r="B26" s="13"/>
      <c r="C26" s="14"/>
      <c r="D26" s="13"/>
      <c r="E26" s="15"/>
      <c r="F26" s="13"/>
      <c r="G26" s="13"/>
      <c r="H26" s="14"/>
      <c r="I26" s="2"/>
      <c r="J26" s="12"/>
      <c r="K26" s="13"/>
      <c r="L26" s="14"/>
      <c r="M26" s="13"/>
      <c r="N26" s="15"/>
      <c r="O26" s="13"/>
      <c r="P26" s="13"/>
      <c r="Q26" s="14"/>
    </row>
    <row r="27" customFormat="false" ht="15" hidden="false" customHeight="false" outlineLevel="0" collapsed="false">
      <c r="A27" s="12"/>
      <c r="B27" s="13"/>
      <c r="C27" s="14"/>
      <c r="D27" s="13"/>
      <c r="E27" s="15"/>
      <c r="F27" s="13"/>
      <c r="G27" s="13"/>
      <c r="H27" s="14"/>
      <c r="I27" s="2"/>
      <c r="J27" s="12"/>
      <c r="K27" s="13"/>
      <c r="L27" s="14"/>
      <c r="M27" s="13"/>
      <c r="N27" s="15"/>
      <c r="O27" s="13"/>
      <c r="P27" s="13"/>
      <c r="Q27" s="14"/>
    </row>
    <row r="28" customFormat="false" ht="15" hidden="false" customHeight="false" outlineLevel="0" collapsed="false">
      <c r="A28" s="12"/>
      <c r="B28" s="13"/>
      <c r="C28" s="14"/>
      <c r="D28" s="13"/>
      <c r="E28" s="15"/>
      <c r="F28" s="13"/>
      <c r="G28" s="13"/>
      <c r="H28" s="14"/>
      <c r="I28" s="2"/>
      <c r="J28" s="12"/>
      <c r="K28" s="13"/>
      <c r="L28" s="14"/>
      <c r="M28" s="13"/>
      <c r="N28" s="15"/>
      <c r="O28" s="13"/>
      <c r="P28" s="13"/>
      <c r="Q28" s="14"/>
    </row>
    <row r="29" customFormat="false" ht="15" hidden="false" customHeight="false" outlineLevel="0" collapsed="false">
      <c r="A29" s="12"/>
      <c r="B29" s="13"/>
      <c r="C29" s="14"/>
      <c r="D29" s="13"/>
      <c r="E29" s="15"/>
      <c r="F29" s="13"/>
      <c r="G29" s="13"/>
      <c r="H29" s="14"/>
      <c r="I29" s="2"/>
      <c r="J29" s="12"/>
      <c r="K29" s="13"/>
      <c r="L29" s="14"/>
      <c r="M29" s="13"/>
      <c r="N29" s="15"/>
      <c r="O29" s="13"/>
      <c r="P29" s="13"/>
      <c r="Q29" s="14"/>
    </row>
    <row r="30" customFormat="false" ht="15" hidden="false" customHeight="false" outlineLevel="0" collapsed="false">
      <c r="A30" s="12"/>
      <c r="B30" s="13"/>
      <c r="C30" s="14"/>
      <c r="D30" s="13"/>
      <c r="E30" s="15"/>
      <c r="F30" s="13"/>
      <c r="G30" s="13"/>
      <c r="H30" s="14"/>
      <c r="I30" s="2"/>
      <c r="J30" s="12"/>
      <c r="K30" s="13"/>
      <c r="L30" s="14"/>
      <c r="M30" s="13"/>
      <c r="N30" s="15"/>
      <c r="O30" s="13"/>
      <c r="P30" s="13"/>
      <c r="Q30" s="14"/>
    </row>
    <row r="31" customFormat="false" ht="15" hidden="false" customHeight="false" outlineLevel="0" collapsed="false">
      <c r="A31" s="12"/>
      <c r="B31" s="13"/>
      <c r="C31" s="14"/>
      <c r="D31" s="13"/>
      <c r="E31" s="15"/>
      <c r="F31" s="13"/>
      <c r="G31" s="13"/>
      <c r="H31" s="14"/>
      <c r="I31" s="2"/>
      <c r="J31" s="12"/>
      <c r="K31" s="13"/>
      <c r="L31" s="14"/>
      <c r="M31" s="13"/>
      <c r="N31" s="15"/>
      <c r="O31" s="13"/>
      <c r="P31" s="13"/>
      <c r="Q31" s="14"/>
    </row>
    <row r="32" customFormat="false" ht="15" hidden="false" customHeight="false" outlineLevel="0" collapsed="false">
      <c r="A32" s="12"/>
      <c r="B32" s="13"/>
      <c r="C32" s="14"/>
      <c r="D32" s="13"/>
      <c r="E32" s="15"/>
      <c r="F32" s="13"/>
      <c r="G32" s="13"/>
      <c r="H32" s="14"/>
      <c r="I32" s="2"/>
      <c r="J32" s="12"/>
      <c r="K32" s="13"/>
      <c r="L32" s="14"/>
      <c r="M32" s="13"/>
      <c r="N32" s="15"/>
      <c r="O32" s="13"/>
      <c r="P32" s="13"/>
      <c r="Q32" s="14"/>
    </row>
    <row r="33" customFormat="false" ht="15" hidden="false" customHeight="false" outlineLevel="0" collapsed="false">
      <c r="A33" s="12"/>
      <c r="B33" s="13"/>
      <c r="C33" s="14"/>
      <c r="D33" s="13"/>
      <c r="E33" s="15"/>
      <c r="F33" s="13"/>
      <c r="G33" s="13"/>
      <c r="H33" s="14"/>
      <c r="I33" s="2"/>
      <c r="J33" s="12"/>
      <c r="K33" s="13"/>
      <c r="L33" s="14"/>
      <c r="M33" s="13"/>
      <c r="N33" s="15"/>
      <c r="O33" s="13"/>
      <c r="P33" s="13"/>
      <c r="Q33" s="14"/>
    </row>
    <row r="34" customFormat="false" ht="15" hidden="false" customHeight="false" outlineLevel="0" collapsed="false">
      <c r="A34" s="12"/>
      <c r="B34" s="13"/>
      <c r="C34" s="14"/>
      <c r="D34" s="13"/>
      <c r="E34" s="15"/>
      <c r="F34" s="13"/>
      <c r="G34" s="13"/>
      <c r="H34" s="14"/>
      <c r="I34" s="2"/>
      <c r="J34" s="12"/>
      <c r="K34" s="13"/>
      <c r="L34" s="14"/>
      <c r="M34" s="13"/>
      <c r="N34" s="15"/>
      <c r="O34" s="13"/>
      <c r="P34" s="13"/>
      <c r="Q34" s="14"/>
    </row>
    <row r="35" customFormat="false" ht="15" hidden="false" customHeight="false" outlineLevel="0" collapsed="false">
      <c r="A35" s="12"/>
      <c r="B35" s="13"/>
      <c r="C35" s="14"/>
      <c r="D35" s="13"/>
      <c r="E35" s="15"/>
      <c r="F35" s="13"/>
      <c r="G35" s="13"/>
      <c r="H35" s="14"/>
      <c r="I35" s="2"/>
      <c r="J35" s="12"/>
      <c r="K35" s="13"/>
      <c r="L35" s="14"/>
      <c r="M35" s="13"/>
      <c r="N35" s="15"/>
      <c r="O35" s="13"/>
      <c r="P35" s="13"/>
      <c r="Q35" s="14"/>
    </row>
    <row r="36" customFormat="false" ht="15" hidden="false" customHeight="false" outlineLevel="0" collapsed="false">
      <c r="A36" s="12"/>
      <c r="B36" s="13"/>
      <c r="C36" s="14"/>
      <c r="D36" s="13"/>
      <c r="E36" s="15"/>
      <c r="F36" s="13"/>
      <c r="G36" s="13"/>
      <c r="H36" s="14"/>
      <c r="I36" s="2"/>
      <c r="J36" s="12"/>
      <c r="K36" s="13"/>
      <c r="L36" s="14"/>
      <c r="M36" s="13"/>
      <c r="N36" s="15"/>
      <c r="O36" s="13"/>
      <c r="P36" s="13"/>
      <c r="Q36" s="14"/>
    </row>
    <row r="37" customFormat="false" ht="15" hidden="false" customHeight="false" outlineLevel="0" collapsed="false">
      <c r="A37" s="12"/>
      <c r="B37" s="13"/>
      <c r="C37" s="14"/>
      <c r="D37" s="13"/>
      <c r="E37" s="15"/>
      <c r="F37" s="13"/>
      <c r="G37" s="13"/>
      <c r="H37" s="14"/>
      <c r="I37" s="2"/>
      <c r="J37" s="12"/>
      <c r="K37" s="13"/>
      <c r="L37" s="14"/>
      <c r="M37" s="13"/>
      <c r="N37" s="15"/>
      <c r="O37" s="13"/>
      <c r="P37" s="13"/>
      <c r="Q37" s="14"/>
    </row>
    <row r="38" customFormat="false" ht="15" hidden="false" customHeight="false" outlineLevel="0" collapsed="false">
      <c r="A38" s="12"/>
      <c r="B38" s="13"/>
      <c r="C38" s="14"/>
      <c r="D38" s="13"/>
      <c r="E38" s="15"/>
      <c r="F38" s="13"/>
      <c r="G38" s="13"/>
      <c r="H38" s="14"/>
      <c r="I38" s="2"/>
      <c r="J38" s="12"/>
      <c r="K38" s="13"/>
      <c r="L38" s="14"/>
      <c r="M38" s="13"/>
      <c r="N38" s="15"/>
      <c r="O38" s="13"/>
      <c r="P38" s="13"/>
      <c r="Q38" s="14"/>
    </row>
    <row r="39" customFormat="false" ht="15" hidden="false" customHeight="false" outlineLevel="0" collapsed="false">
      <c r="A39" s="12"/>
      <c r="B39" s="13"/>
      <c r="C39" s="14"/>
      <c r="D39" s="13"/>
      <c r="E39" s="15"/>
      <c r="F39" s="13"/>
      <c r="G39" s="13"/>
      <c r="H39" s="14"/>
      <c r="I39" s="2"/>
      <c r="J39" s="12"/>
      <c r="K39" s="13"/>
      <c r="L39" s="14"/>
      <c r="M39" s="13"/>
      <c r="N39" s="15"/>
      <c r="O39" s="13"/>
      <c r="P39" s="13"/>
      <c r="Q39" s="14"/>
    </row>
    <row r="40" customFormat="false" ht="15" hidden="false" customHeight="false" outlineLevel="0" collapsed="false">
      <c r="A40" s="12"/>
      <c r="B40" s="13"/>
      <c r="C40" s="14"/>
      <c r="D40" s="13"/>
      <c r="E40" s="15"/>
      <c r="F40" s="13"/>
      <c r="G40" s="13"/>
      <c r="H40" s="14"/>
      <c r="I40" s="2"/>
      <c r="J40" s="12"/>
      <c r="K40" s="13"/>
      <c r="L40" s="14"/>
      <c r="M40" s="13"/>
      <c r="N40" s="15"/>
      <c r="O40" s="13"/>
      <c r="P40" s="13"/>
      <c r="Q40" s="14"/>
    </row>
    <row r="41" customFormat="false" ht="15" hidden="false" customHeight="false" outlineLevel="0" collapsed="false">
      <c r="A41" s="12"/>
      <c r="B41" s="13"/>
      <c r="C41" s="14"/>
      <c r="D41" s="13"/>
      <c r="E41" s="15"/>
      <c r="F41" s="13"/>
      <c r="G41" s="13"/>
      <c r="H41" s="14"/>
      <c r="I41" s="2"/>
      <c r="J41" s="12"/>
      <c r="K41" s="13"/>
      <c r="L41" s="14"/>
      <c r="M41" s="13"/>
      <c r="N41" s="15"/>
      <c r="O41" s="13"/>
      <c r="P41" s="13"/>
      <c r="Q41" s="14"/>
    </row>
    <row r="42" customFormat="false" ht="15" hidden="false" customHeight="false" outlineLevel="0" collapsed="false">
      <c r="A42" s="12"/>
      <c r="B42" s="13"/>
      <c r="C42" s="14"/>
      <c r="D42" s="13"/>
      <c r="E42" s="15"/>
      <c r="F42" s="13"/>
      <c r="G42" s="13"/>
      <c r="H42" s="14"/>
      <c r="I42" s="2"/>
      <c r="J42" s="12"/>
      <c r="K42" s="13"/>
      <c r="L42" s="14"/>
      <c r="M42" s="13"/>
      <c r="N42" s="15"/>
      <c r="O42" s="13"/>
      <c r="P42" s="13"/>
      <c r="Q42" s="14"/>
    </row>
    <row r="43" customFormat="false" ht="15" hidden="false" customHeight="false" outlineLevel="0" collapsed="false">
      <c r="A43" s="12"/>
      <c r="B43" s="13"/>
      <c r="C43" s="14"/>
      <c r="D43" s="13"/>
      <c r="E43" s="15"/>
      <c r="F43" s="13"/>
      <c r="G43" s="13"/>
      <c r="H43" s="14"/>
      <c r="I43" s="2"/>
      <c r="J43" s="12"/>
      <c r="K43" s="13"/>
      <c r="L43" s="14"/>
      <c r="M43" s="13"/>
      <c r="N43" s="15"/>
      <c r="O43" s="13"/>
      <c r="P43" s="13"/>
      <c r="Q43" s="14"/>
    </row>
    <row r="44" customFormat="false" ht="15" hidden="false" customHeight="false" outlineLevel="0" collapsed="false">
      <c r="A44" s="12"/>
      <c r="B44" s="13"/>
      <c r="C44" s="14"/>
      <c r="D44" s="13"/>
      <c r="E44" s="15"/>
      <c r="F44" s="13"/>
      <c r="G44" s="13"/>
      <c r="H44" s="14"/>
      <c r="I44" s="2"/>
      <c r="J44" s="12"/>
      <c r="K44" s="13"/>
      <c r="L44" s="14"/>
      <c r="M44" s="13"/>
      <c r="N44" s="15"/>
      <c r="O44" s="13"/>
      <c r="P44" s="13"/>
      <c r="Q44" s="14"/>
    </row>
    <row r="45" customFormat="false" ht="15" hidden="false" customHeight="false" outlineLevel="0" collapsed="false">
      <c r="A45" s="12"/>
      <c r="B45" s="13"/>
      <c r="C45" s="14"/>
      <c r="D45" s="13"/>
      <c r="E45" s="15"/>
      <c r="F45" s="13"/>
      <c r="G45" s="13"/>
      <c r="H45" s="14"/>
      <c r="I45" s="2"/>
      <c r="J45" s="12"/>
      <c r="K45" s="13"/>
      <c r="L45" s="14"/>
      <c r="M45" s="13"/>
      <c r="N45" s="15"/>
      <c r="O45" s="13"/>
      <c r="P45" s="13"/>
      <c r="Q45" s="14"/>
    </row>
    <row r="46" customFormat="false" ht="15" hidden="false" customHeight="false" outlineLevel="0" collapsed="false">
      <c r="A46" s="12"/>
      <c r="B46" s="13"/>
      <c r="C46" s="14"/>
      <c r="D46" s="13"/>
      <c r="E46" s="15"/>
      <c r="F46" s="13"/>
      <c r="G46" s="13"/>
      <c r="H46" s="14"/>
      <c r="I46" s="2"/>
      <c r="J46" s="12"/>
      <c r="K46" s="13"/>
      <c r="L46" s="14"/>
      <c r="M46" s="13"/>
      <c r="N46" s="15"/>
      <c r="O46" s="13"/>
      <c r="P46" s="13"/>
      <c r="Q46" s="14"/>
    </row>
    <row r="47" customFormat="false" ht="15" hidden="false" customHeight="false" outlineLevel="0" collapsed="false">
      <c r="A47" s="12"/>
      <c r="B47" s="13"/>
      <c r="C47" s="14"/>
      <c r="D47" s="13"/>
      <c r="E47" s="15"/>
      <c r="F47" s="13"/>
      <c r="G47" s="13"/>
      <c r="H47" s="14"/>
      <c r="I47" s="2"/>
      <c r="J47" s="12"/>
      <c r="K47" s="13"/>
      <c r="L47" s="14"/>
      <c r="M47" s="13"/>
      <c r="N47" s="15"/>
      <c r="O47" s="13"/>
      <c r="P47" s="13"/>
      <c r="Q47" s="14"/>
    </row>
    <row r="48" customFormat="false" ht="15" hidden="false" customHeight="false" outlineLevel="0" collapsed="false">
      <c r="A48" s="12"/>
      <c r="B48" s="13"/>
      <c r="C48" s="14"/>
      <c r="D48" s="13"/>
      <c r="E48" s="15"/>
      <c r="F48" s="13"/>
      <c r="G48" s="13"/>
      <c r="H48" s="14"/>
      <c r="I48" s="2"/>
      <c r="J48" s="12"/>
      <c r="K48" s="13"/>
      <c r="L48" s="14"/>
      <c r="M48" s="13"/>
      <c r="N48" s="15"/>
      <c r="O48" s="13"/>
      <c r="P48" s="13"/>
      <c r="Q48" s="14"/>
    </row>
    <row r="49" customFormat="false" ht="15" hidden="false" customHeight="false" outlineLevel="0" collapsed="false">
      <c r="A49" s="16" t="s">
        <v>22</v>
      </c>
      <c r="B49" s="16"/>
      <c r="C49" s="17" t="n">
        <f aca="false">SUM(C9:C48)</f>
        <v>0</v>
      </c>
      <c r="D49" s="18"/>
      <c r="E49" s="18"/>
      <c r="F49" s="18"/>
      <c r="G49" s="18"/>
      <c r="H49" s="17" t="n">
        <f aca="false">SUM(H9:H48)</f>
        <v>0</v>
      </c>
      <c r="I49" s="2"/>
      <c r="J49" s="19" t="s">
        <v>22</v>
      </c>
      <c r="K49" s="19"/>
      <c r="L49" s="20" t="n">
        <f aca="false">SUM(L9:L48)</f>
        <v>0</v>
      </c>
      <c r="M49" s="21"/>
      <c r="N49" s="21"/>
      <c r="O49" s="21"/>
      <c r="P49" s="21"/>
      <c r="Q49" s="20" t="n">
        <f aca="false">SUM(Q9:Q48)</f>
        <v>0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customFormat="false" ht="15" hidden="false" customHeight="false" outlineLevel="0" collapsed="false">
      <c r="A51" s="22" t="s">
        <v>24</v>
      </c>
      <c r="B51" s="22"/>
      <c r="C51" s="22"/>
      <c r="D51" s="22"/>
      <c r="E51" s="22"/>
      <c r="F51" s="22"/>
      <c r="G51" s="22"/>
      <c r="H51" s="22"/>
      <c r="I51" s="2"/>
      <c r="J51" s="23" t="s">
        <v>25</v>
      </c>
      <c r="K51" s="23"/>
      <c r="L51" s="23"/>
      <c r="M51" s="23"/>
      <c r="N51" s="2"/>
      <c r="O51" s="2"/>
      <c r="P51" s="2"/>
      <c r="Q51" s="2"/>
    </row>
    <row r="52" customFormat="false" ht="15" hidden="false" customHeight="false" outlineLevel="0" collapsed="false">
      <c r="A52" s="22" t="s">
        <v>5</v>
      </c>
      <c r="B52" s="22" t="s">
        <v>26</v>
      </c>
      <c r="C52" s="22" t="s">
        <v>27</v>
      </c>
      <c r="D52" s="22"/>
      <c r="E52" s="22"/>
      <c r="F52" s="22"/>
      <c r="G52" s="22" t="s">
        <v>28</v>
      </c>
      <c r="H52" s="22"/>
      <c r="I52" s="2"/>
      <c r="J52" s="23" t="s">
        <v>29</v>
      </c>
      <c r="K52" s="23"/>
      <c r="L52" s="23"/>
      <c r="M52" s="23" t="s">
        <v>28</v>
      </c>
      <c r="N52" s="2"/>
      <c r="O52" s="2"/>
      <c r="P52" s="2"/>
      <c r="Q52" s="2"/>
    </row>
    <row r="53" customFormat="false" ht="15" hidden="false" customHeight="false" outlineLevel="0" collapsed="false">
      <c r="A53" s="12"/>
      <c r="B53" s="13"/>
      <c r="C53" s="13"/>
      <c r="D53" s="13"/>
      <c r="E53" s="13"/>
      <c r="F53" s="13"/>
      <c r="G53" s="14"/>
      <c r="H53" s="14"/>
      <c r="I53" s="2"/>
      <c r="J53" s="24" t="str">
        <f aca="false">設定!$B$5&amp;" 仕入れ合計"</f>
        <v>従業員A 仕入れ合計</v>
      </c>
      <c r="K53" s="24"/>
      <c r="L53" s="24"/>
      <c r="M53" s="25" t="n">
        <f aca="false">C49</f>
        <v>0</v>
      </c>
      <c r="N53" s="2"/>
      <c r="O53" s="2"/>
      <c r="P53" s="2"/>
      <c r="Q53" s="2"/>
    </row>
    <row r="54" customFormat="false" ht="15" hidden="false" customHeight="false" outlineLevel="0" collapsed="false">
      <c r="A54" s="12"/>
      <c r="B54" s="13"/>
      <c r="C54" s="13"/>
      <c r="D54" s="13"/>
      <c r="E54" s="13"/>
      <c r="F54" s="13"/>
      <c r="G54" s="14"/>
      <c r="H54" s="14"/>
      <c r="I54" s="2"/>
      <c r="J54" s="24" t="str">
        <f aca="false">設定!$B$5&amp;" 交通費合計"</f>
        <v>従業員A 交通費合計</v>
      </c>
      <c r="K54" s="24"/>
      <c r="L54" s="24"/>
      <c r="M54" s="25" t="n">
        <f aca="false">H49</f>
        <v>0</v>
      </c>
      <c r="N54" s="2"/>
      <c r="O54" s="2"/>
      <c r="P54" s="2"/>
      <c r="Q54" s="2"/>
    </row>
    <row r="55" customFormat="false" ht="15" hidden="false" customHeight="false" outlineLevel="0" collapsed="false">
      <c r="A55" s="12"/>
      <c r="B55" s="13"/>
      <c r="C55" s="13"/>
      <c r="D55" s="13"/>
      <c r="E55" s="13"/>
      <c r="F55" s="13"/>
      <c r="G55" s="14"/>
      <c r="H55" s="14"/>
      <c r="I55" s="2"/>
      <c r="J55" s="24" t="str">
        <f aca="false">設定!$B$5&amp;" 立替精算額（返金額）"</f>
        <v>従業員A 立替精算額（返金額）</v>
      </c>
      <c r="K55" s="24"/>
      <c r="L55" s="24"/>
      <c r="M55" s="25" t="n">
        <f aca="false">SUMIF(E9:E48,"○",C9:C48)+SUMIF(E9:E48,"○",H9:H48)</f>
        <v>0</v>
      </c>
      <c r="N55" s="2"/>
      <c r="O55" s="2"/>
      <c r="P55" s="2"/>
      <c r="Q55" s="2"/>
    </row>
    <row r="56" customFormat="false" ht="15" hidden="false" customHeight="false" outlineLevel="0" collapsed="false">
      <c r="A56" s="12"/>
      <c r="B56" s="13"/>
      <c r="C56" s="13"/>
      <c r="D56" s="13"/>
      <c r="E56" s="13"/>
      <c r="F56" s="13"/>
      <c r="G56" s="14"/>
      <c r="H56" s="14"/>
      <c r="I56" s="2"/>
      <c r="J56" s="24" t="str">
        <f aca="false">設定!$B$6&amp;" 仕入れ合計"</f>
        <v>従業員B 仕入れ合計</v>
      </c>
      <c r="K56" s="24"/>
      <c r="L56" s="24"/>
      <c r="M56" s="25" t="n">
        <f aca="false">L49</f>
        <v>0</v>
      </c>
      <c r="N56" s="2"/>
      <c r="O56" s="2"/>
      <c r="P56" s="2"/>
      <c r="Q56" s="2"/>
    </row>
    <row r="57" customFormat="false" ht="15" hidden="false" customHeight="false" outlineLevel="0" collapsed="false">
      <c r="A57" s="12"/>
      <c r="B57" s="13"/>
      <c r="C57" s="13"/>
      <c r="D57" s="13"/>
      <c r="E57" s="13"/>
      <c r="F57" s="13"/>
      <c r="G57" s="14"/>
      <c r="H57" s="14"/>
      <c r="I57" s="2"/>
      <c r="J57" s="24" t="str">
        <f aca="false">設定!$B$6&amp;" 交通費合計"</f>
        <v>従業員B 交通費合計</v>
      </c>
      <c r="K57" s="24"/>
      <c r="L57" s="24"/>
      <c r="M57" s="25" t="n">
        <f aca="false">Q49</f>
        <v>0</v>
      </c>
      <c r="N57" s="2"/>
      <c r="O57" s="2"/>
      <c r="P57" s="2"/>
      <c r="Q57" s="2"/>
    </row>
    <row r="58" customFormat="false" ht="15" hidden="false" customHeight="false" outlineLevel="0" collapsed="false">
      <c r="A58" s="12"/>
      <c r="B58" s="13"/>
      <c r="C58" s="13"/>
      <c r="D58" s="13"/>
      <c r="E58" s="13"/>
      <c r="F58" s="13"/>
      <c r="G58" s="14"/>
      <c r="H58" s="14"/>
      <c r="I58" s="2"/>
      <c r="J58" s="24" t="str">
        <f aca="false">設定!$B$6&amp;" 立替精算額（返金額）"</f>
        <v>従業員B 立替精算額（返金額）</v>
      </c>
      <c r="K58" s="24"/>
      <c r="L58" s="24"/>
      <c r="M58" s="25" t="n">
        <f aca="false">SUMIF(N9:N48,"○",L9:L48)+SUMIF(N9:N48,"○",Q9:Q48)</f>
        <v>0</v>
      </c>
      <c r="N58" s="2"/>
      <c r="O58" s="2"/>
      <c r="P58" s="2"/>
      <c r="Q58" s="2"/>
    </row>
    <row r="59" customFormat="false" ht="15" hidden="false" customHeight="false" outlineLevel="0" collapsed="false">
      <c r="A59" s="12"/>
      <c r="B59" s="13"/>
      <c r="C59" s="13"/>
      <c r="D59" s="13"/>
      <c r="E59" s="13"/>
      <c r="F59" s="13"/>
      <c r="G59" s="14"/>
      <c r="H59" s="14"/>
      <c r="I59" s="2"/>
      <c r="J59" s="24" t="str">
        <f aca="false">"共通経費　送料"</f>
        <v>共通経費　送料</v>
      </c>
      <c r="K59" s="24"/>
      <c r="L59" s="24"/>
      <c r="M59" s="25" t="n">
        <f aca="false">SUMIF(B53:B60,"送料",G53:G60)</f>
        <v>0</v>
      </c>
      <c r="N59" s="2"/>
      <c r="O59" s="2"/>
      <c r="P59" s="2"/>
      <c r="Q59" s="2"/>
    </row>
    <row r="60" customFormat="false" ht="15" hidden="false" customHeight="false" outlineLevel="0" collapsed="false">
      <c r="A60" s="12"/>
      <c r="B60" s="13"/>
      <c r="C60" s="13"/>
      <c r="D60" s="13"/>
      <c r="E60" s="13"/>
      <c r="F60" s="13"/>
      <c r="G60" s="14"/>
      <c r="H60" s="14"/>
      <c r="I60" s="2"/>
      <c r="J60" s="24" t="str">
        <f aca="false">"共通経費　その他経費"</f>
        <v>共通経費　その他経費</v>
      </c>
      <c r="K60" s="24"/>
      <c r="L60" s="24"/>
      <c r="M60" s="25" t="n">
        <f aca="false">SUMIF(B53:B60,"その他経費",G53:G60)</f>
        <v>0</v>
      </c>
      <c r="N60" s="2"/>
      <c r="O60" s="2"/>
      <c r="P60" s="2"/>
      <c r="Q60" s="2"/>
    </row>
    <row r="61" customFormat="false" ht="15" hidden="false" customHeight="false" outlineLevel="0" collapsed="false">
      <c r="A61" s="26" t="s">
        <v>34</v>
      </c>
      <c r="B61" s="26"/>
      <c r="C61" s="26"/>
      <c r="D61" s="26"/>
      <c r="E61" s="26"/>
      <c r="F61" s="26"/>
      <c r="G61" s="27" t="n">
        <f aca="false">SUM(G53:G60)</f>
        <v>0</v>
      </c>
      <c r="H61" s="27"/>
      <c r="I61" s="2"/>
      <c r="J61" s="28" t="s">
        <v>35</v>
      </c>
      <c r="K61" s="28"/>
      <c r="L61" s="28"/>
      <c r="M61" s="29" t="n">
        <f aca="false">M53+M54+M56+M57+G61</f>
        <v>0</v>
      </c>
      <c r="N61" s="2"/>
      <c r="O61" s="2"/>
      <c r="P61" s="2"/>
      <c r="Q61" s="2"/>
    </row>
  </sheetData>
  <mergeCells count="36">
    <mergeCell ref="A7:H7"/>
    <mergeCell ref="J7:Q7"/>
    <mergeCell ref="A49:B49"/>
    <mergeCell ref="J49:K49"/>
    <mergeCell ref="A51:H51"/>
    <mergeCell ref="J51:M51"/>
    <mergeCell ref="C52:F52"/>
    <mergeCell ref="G52:H52"/>
    <mergeCell ref="J52:L52"/>
    <mergeCell ref="C53:F53"/>
    <mergeCell ref="G53:H53"/>
    <mergeCell ref="J53:L53"/>
    <mergeCell ref="C54:F54"/>
    <mergeCell ref="G54:H54"/>
    <mergeCell ref="J54:L54"/>
    <mergeCell ref="C55:F55"/>
    <mergeCell ref="G55:H55"/>
    <mergeCell ref="J55:L55"/>
    <mergeCell ref="C56:F56"/>
    <mergeCell ref="G56:H56"/>
    <mergeCell ref="J56:L56"/>
    <mergeCell ref="C57:F57"/>
    <mergeCell ref="G57:H57"/>
    <mergeCell ref="J57:L57"/>
    <mergeCell ref="C58:F58"/>
    <mergeCell ref="G58:H58"/>
    <mergeCell ref="J58:L58"/>
    <mergeCell ref="C59:F59"/>
    <mergeCell ref="G59:H59"/>
    <mergeCell ref="J59:L59"/>
    <mergeCell ref="C60:F60"/>
    <mergeCell ref="G60:H60"/>
    <mergeCell ref="J60:L60"/>
    <mergeCell ref="A61:F61"/>
    <mergeCell ref="G61:H61"/>
    <mergeCell ref="J61:L61"/>
  </mergeCells>
  <dataValidations count="3">
    <dataValidation allowBlank="true" errorStyle="stop" operator="between" prompt="従業員が立て替えた行のみ ○ を入力してください。" promptTitle="立替" showDropDown="false" showErrorMessage="false" showInputMessage="false" sqref="E9:E48 N9:N48" type="list">
      <formula1>"○"</formula1>
      <formula2>0</formula2>
    </dataValidation>
    <dataValidation allowBlank="true" errorStyle="stop" operator="between" prompt="現金／クレジットカード等を選択してください。" promptTitle="支払方法" showDropDown="false" showErrorMessage="false" showInputMessage="false" sqref="D9:D48 M9:M48" type="list">
      <formula1>設定!$D$5:$D$10</formula1>
      <formula2>0</formula2>
    </dataValidation>
    <dataValidation allowBlank="true" errorStyle="stop" operator="between" prompt="送料／その他経費 を選択してください。" promptTitle="経費区分" showDropDown="false" showErrorMessage="false" showInputMessage="false" sqref="B53:B60" type="list">
      <formula1>設定!$F$5:$F$6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2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14"/>
    <col collapsed="false" customWidth="true" hidden="false" outlineLevel="0" max="14" min="14" style="0" width="6"/>
    <col collapsed="false" customWidth="true" hidden="false" outlineLevel="0" max="16" min="15" style="0" width="14"/>
    <col collapsed="false" customWidth="true" hidden="false" outlineLevel="0" max="17" min="17" style="0" width="12"/>
  </cols>
  <sheetData>
    <row r="1" customFormat="false" ht="19.4" hidden="false" customHeight="false" outlineLevel="0" collapsed="false">
      <c r="A1" s="1" t="s">
        <v>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4" t="str">
        <f aca="false">設定!$B$5</f>
        <v>従業員A</v>
      </c>
      <c r="B7" s="4"/>
      <c r="C7" s="4"/>
      <c r="D7" s="4"/>
      <c r="E7" s="4"/>
      <c r="F7" s="4"/>
      <c r="G7" s="4"/>
      <c r="H7" s="4"/>
      <c r="I7" s="2"/>
      <c r="J7" s="5" t="str">
        <f aca="false">設定!$B$6</f>
        <v>従業員B</v>
      </c>
      <c r="K7" s="5"/>
      <c r="L7" s="5"/>
      <c r="M7" s="5"/>
      <c r="N7" s="5"/>
      <c r="O7" s="5"/>
      <c r="P7" s="5"/>
      <c r="Q7" s="5"/>
    </row>
    <row r="8" customFormat="false" ht="31.5" hidden="false" customHeight="true" outlineLevel="0" collapsed="false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2"/>
      <c r="J8" s="7" t="s">
        <v>5</v>
      </c>
      <c r="K8" s="7" t="s">
        <v>6</v>
      </c>
      <c r="L8" s="7" t="s">
        <v>7</v>
      </c>
      <c r="M8" s="7" t="s">
        <v>8</v>
      </c>
      <c r="N8" s="7" t="s">
        <v>9</v>
      </c>
      <c r="O8" s="7" t="s">
        <v>10</v>
      </c>
      <c r="P8" s="7" t="s">
        <v>11</v>
      </c>
      <c r="Q8" s="7" t="s">
        <v>12</v>
      </c>
    </row>
    <row r="9" customFormat="false" ht="15" hidden="false" customHeight="false" outlineLevel="0" collapsed="false">
      <c r="A9" s="12"/>
      <c r="B9" s="13"/>
      <c r="C9" s="14"/>
      <c r="D9" s="13"/>
      <c r="E9" s="15"/>
      <c r="F9" s="13"/>
      <c r="G9" s="13"/>
      <c r="H9" s="14"/>
      <c r="I9" s="2"/>
      <c r="J9" s="12"/>
      <c r="K9" s="13"/>
      <c r="L9" s="14"/>
      <c r="M9" s="13"/>
      <c r="N9" s="15"/>
      <c r="O9" s="13"/>
      <c r="P9" s="13"/>
      <c r="Q9" s="14"/>
    </row>
    <row r="10" customFormat="false" ht="15" hidden="false" customHeight="false" outlineLevel="0" collapsed="false">
      <c r="A10" s="12"/>
      <c r="B10" s="13"/>
      <c r="C10" s="14"/>
      <c r="D10" s="13"/>
      <c r="E10" s="15"/>
      <c r="F10" s="13"/>
      <c r="G10" s="13"/>
      <c r="H10" s="14"/>
      <c r="I10" s="2"/>
      <c r="J10" s="12"/>
      <c r="K10" s="13"/>
      <c r="L10" s="14"/>
      <c r="M10" s="13"/>
      <c r="N10" s="15"/>
      <c r="O10" s="13"/>
      <c r="P10" s="13"/>
      <c r="Q10" s="14"/>
    </row>
    <row r="11" customFormat="false" ht="15" hidden="false" customHeight="false" outlineLevel="0" collapsed="false">
      <c r="A11" s="12"/>
      <c r="B11" s="13"/>
      <c r="C11" s="14"/>
      <c r="D11" s="13"/>
      <c r="E11" s="15"/>
      <c r="F11" s="13"/>
      <c r="G11" s="13"/>
      <c r="H11" s="14"/>
      <c r="I11" s="2"/>
      <c r="J11" s="12"/>
      <c r="K11" s="13"/>
      <c r="L11" s="14"/>
      <c r="M11" s="13"/>
      <c r="N11" s="15"/>
      <c r="O11" s="13"/>
      <c r="P11" s="13"/>
      <c r="Q11" s="14"/>
    </row>
    <row r="12" customFormat="false" ht="15" hidden="false" customHeight="false" outlineLevel="0" collapsed="false">
      <c r="A12" s="12"/>
      <c r="B12" s="13"/>
      <c r="C12" s="14"/>
      <c r="D12" s="13"/>
      <c r="E12" s="15"/>
      <c r="F12" s="13"/>
      <c r="G12" s="13"/>
      <c r="H12" s="14"/>
      <c r="I12" s="2"/>
      <c r="J12" s="12"/>
      <c r="K12" s="13"/>
      <c r="L12" s="14"/>
      <c r="M12" s="13"/>
      <c r="N12" s="15"/>
      <c r="O12" s="13"/>
      <c r="P12" s="13"/>
      <c r="Q12" s="14"/>
    </row>
    <row r="13" customFormat="false" ht="15" hidden="false" customHeight="false" outlineLevel="0" collapsed="false">
      <c r="A13" s="12"/>
      <c r="B13" s="13"/>
      <c r="C13" s="14"/>
      <c r="D13" s="13"/>
      <c r="E13" s="15"/>
      <c r="F13" s="13"/>
      <c r="G13" s="13"/>
      <c r="H13" s="14"/>
      <c r="I13" s="2"/>
      <c r="J13" s="12"/>
      <c r="K13" s="13"/>
      <c r="L13" s="14"/>
      <c r="M13" s="13"/>
      <c r="N13" s="15"/>
      <c r="O13" s="13"/>
      <c r="P13" s="13"/>
      <c r="Q13" s="14"/>
    </row>
    <row r="14" customFormat="false" ht="15" hidden="false" customHeight="false" outlineLevel="0" collapsed="false">
      <c r="A14" s="12"/>
      <c r="B14" s="13"/>
      <c r="C14" s="14"/>
      <c r="D14" s="13"/>
      <c r="E14" s="15"/>
      <c r="F14" s="13"/>
      <c r="G14" s="13"/>
      <c r="H14" s="14"/>
      <c r="I14" s="2"/>
      <c r="J14" s="12"/>
      <c r="K14" s="13"/>
      <c r="L14" s="14"/>
      <c r="M14" s="13"/>
      <c r="N14" s="15"/>
      <c r="O14" s="13"/>
      <c r="P14" s="13"/>
      <c r="Q14" s="14"/>
    </row>
    <row r="15" customFormat="false" ht="15" hidden="false" customHeight="false" outlineLevel="0" collapsed="false">
      <c r="A15" s="12"/>
      <c r="B15" s="13"/>
      <c r="C15" s="14"/>
      <c r="D15" s="13"/>
      <c r="E15" s="15"/>
      <c r="F15" s="13"/>
      <c r="G15" s="13"/>
      <c r="H15" s="14"/>
      <c r="I15" s="2"/>
      <c r="J15" s="12"/>
      <c r="K15" s="13"/>
      <c r="L15" s="14"/>
      <c r="M15" s="13"/>
      <c r="N15" s="15"/>
      <c r="O15" s="13"/>
      <c r="P15" s="13"/>
      <c r="Q15" s="14"/>
    </row>
    <row r="16" customFormat="false" ht="15" hidden="false" customHeight="false" outlineLevel="0" collapsed="false">
      <c r="A16" s="12"/>
      <c r="B16" s="13"/>
      <c r="C16" s="14"/>
      <c r="D16" s="13"/>
      <c r="E16" s="15"/>
      <c r="F16" s="13"/>
      <c r="G16" s="13"/>
      <c r="H16" s="14"/>
      <c r="I16" s="2"/>
      <c r="J16" s="12"/>
      <c r="K16" s="13"/>
      <c r="L16" s="14"/>
      <c r="M16" s="13"/>
      <c r="N16" s="15"/>
      <c r="O16" s="13"/>
      <c r="P16" s="13"/>
      <c r="Q16" s="14"/>
    </row>
    <row r="17" customFormat="false" ht="15" hidden="false" customHeight="false" outlineLevel="0" collapsed="false">
      <c r="A17" s="12"/>
      <c r="B17" s="13"/>
      <c r="C17" s="14"/>
      <c r="D17" s="13"/>
      <c r="E17" s="15"/>
      <c r="F17" s="13"/>
      <c r="G17" s="13"/>
      <c r="H17" s="14"/>
      <c r="I17" s="2"/>
      <c r="J17" s="12"/>
      <c r="K17" s="13"/>
      <c r="L17" s="14"/>
      <c r="M17" s="13"/>
      <c r="N17" s="15"/>
      <c r="O17" s="13"/>
      <c r="P17" s="13"/>
      <c r="Q17" s="14"/>
    </row>
    <row r="18" customFormat="false" ht="15" hidden="false" customHeight="false" outlineLevel="0" collapsed="false">
      <c r="A18" s="12"/>
      <c r="B18" s="13"/>
      <c r="C18" s="14"/>
      <c r="D18" s="13"/>
      <c r="E18" s="15"/>
      <c r="F18" s="13"/>
      <c r="G18" s="13"/>
      <c r="H18" s="14"/>
      <c r="I18" s="2"/>
      <c r="J18" s="12"/>
      <c r="K18" s="13"/>
      <c r="L18" s="14"/>
      <c r="M18" s="13"/>
      <c r="N18" s="15"/>
      <c r="O18" s="13"/>
      <c r="P18" s="13"/>
      <c r="Q18" s="14"/>
    </row>
    <row r="19" customFormat="false" ht="15" hidden="false" customHeight="false" outlineLevel="0" collapsed="false">
      <c r="A19" s="12"/>
      <c r="B19" s="13"/>
      <c r="C19" s="14"/>
      <c r="D19" s="13"/>
      <c r="E19" s="15"/>
      <c r="F19" s="13"/>
      <c r="G19" s="13"/>
      <c r="H19" s="14"/>
      <c r="I19" s="2"/>
      <c r="J19" s="12"/>
      <c r="K19" s="13"/>
      <c r="L19" s="14"/>
      <c r="M19" s="13"/>
      <c r="N19" s="15"/>
      <c r="O19" s="13"/>
      <c r="P19" s="13"/>
      <c r="Q19" s="14"/>
    </row>
    <row r="20" customFormat="false" ht="15" hidden="false" customHeight="false" outlineLevel="0" collapsed="false">
      <c r="A20" s="12"/>
      <c r="B20" s="13"/>
      <c r="C20" s="14"/>
      <c r="D20" s="13"/>
      <c r="E20" s="15"/>
      <c r="F20" s="13"/>
      <c r="G20" s="13"/>
      <c r="H20" s="14"/>
      <c r="I20" s="2"/>
      <c r="J20" s="12"/>
      <c r="K20" s="13"/>
      <c r="L20" s="14"/>
      <c r="M20" s="13"/>
      <c r="N20" s="15"/>
      <c r="O20" s="13"/>
      <c r="P20" s="13"/>
      <c r="Q20" s="14"/>
    </row>
    <row r="21" customFormat="false" ht="15" hidden="false" customHeight="false" outlineLevel="0" collapsed="false">
      <c r="A21" s="12"/>
      <c r="B21" s="13"/>
      <c r="C21" s="14"/>
      <c r="D21" s="13"/>
      <c r="E21" s="15"/>
      <c r="F21" s="13"/>
      <c r="G21" s="13"/>
      <c r="H21" s="14"/>
      <c r="I21" s="2"/>
      <c r="J21" s="12"/>
      <c r="K21" s="13"/>
      <c r="L21" s="14"/>
      <c r="M21" s="13"/>
      <c r="N21" s="15"/>
      <c r="O21" s="13"/>
      <c r="P21" s="13"/>
      <c r="Q21" s="14"/>
    </row>
    <row r="22" customFormat="false" ht="15" hidden="false" customHeight="false" outlineLevel="0" collapsed="false">
      <c r="A22" s="12"/>
      <c r="B22" s="13"/>
      <c r="C22" s="14"/>
      <c r="D22" s="13"/>
      <c r="E22" s="15"/>
      <c r="F22" s="13"/>
      <c r="G22" s="13"/>
      <c r="H22" s="14"/>
      <c r="I22" s="2"/>
      <c r="J22" s="12"/>
      <c r="K22" s="13"/>
      <c r="L22" s="14"/>
      <c r="M22" s="13"/>
      <c r="N22" s="15"/>
      <c r="O22" s="13"/>
      <c r="P22" s="13"/>
      <c r="Q22" s="14"/>
    </row>
    <row r="23" customFormat="false" ht="15" hidden="false" customHeight="false" outlineLevel="0" collapsed="false">
      <c r="A23" s="12"/>
      <c r="B23" s="13"/>
      <c r="C23" s="14"/>
      <c r="D23" s="13"/>
      <c r="E23" s="15"/>
      <c r="F23" s="13"/>
      <c r="G23" s="13"/>
      <c r="H23" s="14"/>
      <c r="I23" s="2"/>
      <c r="J23" s="12"/>
      <c r="K23" s="13"/>
      <c r="L23" s="14"/>
      <c r="M23" s="13"/>
      <c r="N23" s="15"/>
      <c r="O23" s="13"/>
      <c r="P23" s="13"/>
      <c r="Q23" s="14"/>
    </row>
    <row r="24" customFormat="false" ht="15" hidden="false" customHeight="false" outlineLevel="0" collapsed="false">
      <c r="A24" s="12"/>
      <c r="B24" s="13"/>
      <c r="C24" s="14"/>
      <c r="D24" s="13"/>
      <c r="E24" s="15"/>
      <c r="F24" s="13"/>
      <c r="G24" s="13"/>
      <c r="H24" s="14"/>
      <c r="I24" s="2"/>
      <c r="J24" s="12"/>
      <c r="K24" s="13"/>
      <c r="L24" s="14"/>
      <c r="M24" s="13"/>
      <c r="N24" s="15"/>
      <c r="O24" s="13"/>
      <c r="P24" s="13"/>
      <c r="Q24" s="14"/>
    </row>
    <row r="25" customFormat="false" ht="15" hidden="false" customHeight="false" outlineLevel="0" collapsed="false">
      <c r="A25" s="12"/>
      <c r="B25" s="13"/>
      <c r="C25" s="14"/>
      <c r="D25" s="13"/>
      <c r="E25" s="15"/>
      <c r="F25" s="13"/>
      <c r="G25" s="13"/>
      <c r="H25" s="14"/>
      <c r="I25" s="2"/>
      <c r="J25" s="12"/>
      <c r="K25" s="13"/>
      <c r="L25" s="14"/>
      <c r="M25" s="13"/>
      <c r="N25" s="15"/>
      <c r="O25" s="13"/>
      <c r="P25" s="13"/>
      <c r="Q25" s="14"/>
    </row>
    <row r="26" customFormat="false" ht="15" hidden="false" customHeight="false" outlineLevel="0" collapsed="false">
      <c r="A26" s="12"/>
      <c r="B26" s="13"/>
      <c r="C26" s="14"/>
      <c r="D26" s="13"/>
      <c r="E26" s="15"/>
      <c r="F26" s="13"/>
      <c r="G26" s="13"/>
      <c r="H26" s="14"/>
      <c r="I26" s="2"/>
      <c r="J26" s="12"/>
      <c r="K26" s="13"/>
      <c r="L26" s="14"/>
      <c r="M26" s="13"/>
      <c r="N26" s="15"/>
      <c r="O26" s="13"/>
      <c r="P26" s="13"/>
      <c r="Q26" s="14"/>
    </row>
    <row r="27" customFormat="false" ht="15" hidden="false" customHeight="false" outlineLevel="0" collapsed="false">
      <c r="A27" s="12"/>
      <c r="B27" s="13"/>
      <c r="C27" s="14"/>
      <c r="D27" s="13"/>
      <c r="E27" s="15"/>
      <c r="F27" s="13"/>
      <c r="G27" s="13"/>
      <c r="H27" s="14"/>
      <c r="I27" s="2"/>
      <c r="J27" s="12"/>
      <c r="K27" s="13"/>
      <c r="L27" s="14"/>
      <c r="M27" s="13"/>
      <c r="N27" s="15"/>
      <c r="O27" s="13"/>
      <c r="P27" s="13"/>
      <c r="Q27" s="14"/>
    </row>
    <row r="28" customFormat="false" ht="15" hidden="false" customHeight="false" outlineLevel="0" collapsed="false">
      <c r="A28" s="12"/>
      <c r="B28" s="13"/>
      <c r="C28" s="14"/>
      <c r="D28" s="13"/>
      <c r="E28" s="15"/>
      <c r="F28" s="13"/>
      <c r="G28" s="13"/>
      <c r="H28" s="14"/>
      <c r="I28" s="2"/>
      <c r="J28" s="12"/>
      <c r="K28" s="13"/>
      <c r="L28" s="14"/>
      <c r="M28" s="13"/>
      <c r="N28" s="15"/>
      <c r="O28" s="13"/>
      <c r="P28" s="13"/>
      <c r="Q28" s="14"/>
    </row>
    <row r="29" customFormat="false" ht="15" hidden="false" customHeight="false" outlineLevel="0" collapsed="false">
      <c r="A29" s="12"/>
      <c r="B29" s="13"/>
      <c r="C29" s="14"/>
      <c r="D29" s="13"/>
      <c r="E29" s="15"/>
      <c r="F29" s="13"/>
      <c r="G29" s="13"/>
      <c r="H29" s="14"/>
      <c r="I29" s="2"/>
      <c r="J29" s="12"/>
      <c r="K29" s="13"/>
      <c r="L29" s="14"/>
      <c r="M29" s="13"/>
      <c r="N29" s="15"/>
      <c r="O29" s="13"/>
      <c r="P29" s="13"/>
      <c r="Q29" s="14"/>
    </row>
    <row r="30" customFormat="false" ht="15" hidden="false" customHeight="false" outlineLevel="0" collapsed="false">
      <c r="A30" s="12"/>
      <c r="B30" s="13"/>
      <c r="C30" s="14"/>
      <c r="D30" s="13"/>
      <c r="E30" s="15"/>
      <c r="F30" s="13"/>
      <c r="G30" s="13"/>
      <c r="H30" s="14"/>
      <c r="I30" s="2"/>
      <c r="J30" s="12"/>
      <c r="K30" s="13"/>
      <c r="L30" s="14"/>
      <c r="M30" s="13"/>
      <c r="N30" s="15"/>
      <c r="O30" s="13"/>
      <c r="P30" s="13"/>
      <c r="Q30" s="14"/>
    </row>
    <row r="31" customFormat="false" ht="15" hidden="false" customHeight="false" outlineLevel="0" collapsed="false">
      <c r="A31" s="12"/>
      <c r="B31" s="13"/>
      <c r="C31" s="14"/>
      <c r="D31" s="13"/>
      <c r="E31" s="15"/>
      <c r="F31" s="13"/>
      <c r="G31" s="13"/>
      <c r="H31" s="14"/>
      <c r="I31" s="2"/>
      <c r="J31" s="12"/>
      <c r="K31" s="13"/>
      <c r="L31" s="14"/>
      <c r="M31" s="13"/>
      <c r="N31" s="15"/>
      <c r="O31" s="13"/>
      <c r="P31" s="13"/>
      <c r="Q31" s="14"/>
    </row>
    <row r="32" customFormat="false" ht="15" hidden="false" customHeight="false" outlineLevel="0" collapsed="false">
      <c r="A32" s="12"/>
      <c r="B32" s="13"/>
      <c r="C32" s="14"/>
      <c r="D32" s="13"/>
      <c r="E32" s="15"/>
      <c r="F32" s="13"/>
      <c r="G32" s="13"/>
      <c r="H32" s="14"/>
      <c r="I32" s="2"/>
      <c r="J32" s="12"/>
      <c r="K32" s="13"/>
      <c r="L32" s="14"/>
      <c r="M32" s="13"/>
      <c r="N32" s="15"/>
      <c r="O32" s="13"/>
      <c r="P32" s="13"/>
      <c r="Q32" s="14"/>
    </row>
    <row r="33" customFormat="false" ht="15" hidden="false" customHeight="false" outlineLevel="0" collapsed="false">
      <c r="A33" s="12"/>
      <c r="B33" s="13"/>
      <c r="C33" s="14"/>
      <c r="D33" s="13"/>
      <c r="E33" s="15"/>
      <c r="F33" s="13"/>
      <c r="G33" s="13"/>
      <c r="H33" s="14"/>
      <c r="I33" s="2"/>
      <c r="J33" s="12"/>
      <c r="K33" s="13"/>
      <c r="L33" s="14"/>
      <c r="M33" s="13"/>
      <c r="N33" s="15"/>
      <c r="O33" s="13"/>
      <c r="P33" s="13"/>
      <c r="Q33" s="14"/>
    </row>
    <row r="34" customFormat="false" ht="15" hidden="false" customHeight="false" outlineLevel="0" collapsed="false">
      <c r="A34" s="12"/>
      <c r="B34" s="13"/>
      <c r="C34" s="14"/>
      <c r="D34" s="13"/>
      <c r="E34" s="15"/>
      <c r="F34" s="13"/>
      <c r="G34" s="13"/>
      <c r="H34" s="14"/>
      <c r="I34" s="2"/>
      <c r="J34" s="12"/>
      <c r="K34" s="13"/>
      <c r="L34" s="14"/>
      <c r="M34" s="13"/>
      <c r="N34" s="15"/>
      <c r="O34" s="13"/>
      <c r="P34" s="13"/>
      <c r="Q34" s="14"/>
    </row>
    <row r="35" customFormat="false" ht="15" hidden="false" customHeight="false" outlineLevel="0" collapsed="false">
      <c r="A35" s="12"/>
      <c r="B35" s="13"/>
      <c r="C35" s="14"/>
      <c r="D35" s="13"/>
      <c r="E35" s="15"/>
      <c r="F35" s="13"/>
      <c r="G35" s="13"/>
      <c r="H35" s="14"/>
      <c r="I35" s="2"/>
      <c r="J35" s="12"/>
      <c r="K35" s="13"/>
      <c r="L35" s="14"/>
      <c r="M35" s="13"/>
      <c r="N35" s="15"/>
      <c r="O35" s="13"/>
      <c r="P35" s="13"/>
      <c r="Q35" s="14"/>
    </row>
    <row r="36" customFormat="false" ht="15" hidden="false" customHeight="false" outlineLevel="0" collapsed="false">
      <c r="A36" s="12"/>
      <c r="B36" s="13"/>
      <c r="C36" s="14"/>
      <c r="D36" s="13"/>
      <c r="E36" s="15"/>
      <c r="F36" s="13"/>
      <c r="G36" s="13"/>
      <c r="H36" s="14"/>
      <c r="I36" s="2"/>
      <c r="J36" s="12"/>
      <c r="K36" s="13"/>
      <c r="L36" s="14"/>
      <c r="M36" s="13"/>
      <c r="N36" s="15"/>
      <c r="O36" s="13"/>
      <c r="P36" s="13"/>
      <c r="Q36" s="14"/>
    </row>
    <row r="37" customFormat="false" ht="15" hidden="false" customHeight="false" outlineLevel="0" collapsed="false">
      <c r="A37" s="12"/>
      <c r="B37" s="13"/>
      <c r="C37" s="14"/>
      <c r="D37" s="13"/>
      <c r="E37" s="15"/>
      <c r="F37" s="13"/>
      <c r="G37" s="13"/>
      <c r="H37" s="14"/>
      <c r="I37" s="2"/>
      <c r="J37" s="12"/>
      <c r="K37" s="13"/>
      <c r="L37" s="14"/>
      <c r="M37" s="13"/>
      <c r="N37" s="15"/>
      <c r="O37" s="13"/>
      <c r="P37" s="13"/>
      <c r="Q37" s="14"/>
    </row>
    <row r="38" customFormat="false" ht="15" hidden="false" customHeight="false" outlineLevel="0" collapsed="false">
      <c r="A38" s="12"/>
      <c r="B38" s="13"/>
      <c r="C38" s="14"/>
      <c r="D38" s="13"/>
      <c r="E38" s="15"/>
      <c r="F38" s="13"/>
      <c r="G38" s="13"/>
      <c r="H38" s="14"/>
      <c r="I38" s="2"/>
      <c r="J38" s="12"/>
      <c r="K38" s="13"/>
      <c r="L38" s="14"/>
      <c r="M38" s="13"/>
      <c r="N38" s="15"/>
      <c r="O38" s="13"/>
      <c r="P38" s="13"/>
      <c r="Q38" s="14"/>
    </row>
    <row r="39" customFormat="false" ht="15" hidden="false" customHeight="false" outlineLevel="0" collapsed="false">
      <c r="A39" s="12"/>
      <c r="B39" s="13"/>
      <c r="C39" s="14"/>
      <c r="D39" s="13"/>
      <c r="E39" s="15"/>
      <c r="F39" s="13"/>
      <c r="G39" s="13"/>
      <c r="H39" s="14"/>
      <c r="I39" s="2"/>
      <c r="J39" s="12"/>
      <c r="K39" s="13"/>
      <c r="L39" s="14"/>
      <c r="M39" s="13"/>
      <c r="N39" s="15"/>
      <c r="O39" s="13"/>
      <c r="P39" s="13"/>
      <c r="Q39" s="14"/>
    </row>
    <row r="40" customFormat="false" ht="15" hidden="false" customHeight="false" outlineLevel="0" collapsed="false">
      <c r="A40" s="12"/>
      <c r="B40" s="13"/>
      <c r="C40" s="14"/>
      <c r="D40" s="13"/>
      <c r="E40" s="15"/>
      <c r="F40" s="13"/>
      <c r="G40" s="13"/>
      <c r="H40" s="14"/>
      <c r="I40" s="2"/>
      <c r="J40" s="12"/>
      <c r="K40" s="13"/>
      <c r="L40" s="14"/>
      <c r="M40" s="13"/>
      <c r="N40" s="15"/>
      <c r="O40" s="13"/>
      <c r="P40" s="13"/>
      <c r="Q40" s="14"/>
    </row>
    <row r="41" customFormat="false" ht="15" hidden="false" customHeight="false" outlineLevel="0" collapsed="false">
      <c r="A41" s="12"/>
      <c r="B41" s="13"/>
      <c r="C41" s="14"/>
      <c r="D41" s="13"/>
      <c r="E41" s="15"/>
      <c r="F41" s="13"/>
      <c r="G41" s="13"/>
      <c r="H41" s="14"/>
      <c r="I41" s="2"/>
      <c r="J41" s="12"/>
      <c r="K41" s="13"/>
      <c r="L41" s="14"/>
      <c r="M41" s="13"/>
      <c r="N41" s="15"/>
      <c r="O41" s="13"/>
      <c r="P41" s="13"/>
      <c r="Q41" s="14"/>
    </row>
    <row r="42" customFormat="false" ht="15" hidden="false" customHeight="false" outlineLevel="0" collapsed="false">
      <c r="A42" s="12"/>
      <c r="B42" s="13"/>
      <c r="C42" s="14"/>
      <c r="D42" s="13"/>
      <c r="E42" s="15"/>
      <c r="F42" s="13"/>
      <c r="G42" s="13"/>
      <c r="H42" s="14"/>
      <c r="I42" s="2"/>
      <c r="J42" s="12"/>
      <c r="K42" s="13"/>
      <c r="L42" s="14"/>
      <c r="M42" s="13"/>
      <c r="N42" s="15"/>
      <c r="O42" s="13"/>
      <c r="P42" s="13"/>
      <c r="Q42" s="14"/>
    </row>
    <row r="43" customFormat="false" ht="15" hidden="false" customHeight="false" outlineLevel="0" collapsed="false">
      <c r="A43" s="12"/>
      <c r="B43" s="13"/>
      <c r="C43" s="14"/>
      <c r="D43" s="13"/>
      <c r="E43" s="15"/>
      <c r="F43" s="13"/>
      <c r="G43" s="13"/>
      <c r="H43" s="14"/>
      <c r="I43" s="2"/>
      <c r="J43" s="12"/>
      <c r="K43" s="13"/>
      <c r="L43" s="14"/>
      <c r="M43" s="13"/>
      <c r="N43" s="15"/>
      <c r="O43" s="13"/>
      <c r="P43" s="13"/>
      <c r="Q43" s="14"/>
    </row>
    <row r="44" customFormat="false" ht="15" hidden="false" customHeight="false" outlineLevel="0" collapsed="false">
      <c r="A44" s="12"/>
      <c r="B44" s="13"/>
      <c r="C44" s="14"/>
      <c r="D44" s="13"/>
      <c r="E44" s="15"/>
      <c r="F44" s="13"/>
      <c r="G44" s="13"/>
      <c r="H44" s="14"/>
      <c r="I44" s="2"/>
      <c r="J44" s="12"/>
      <c r="K44" s="13"/>
      <c r="L44" s="14"/>
      <c r="M44" s="13"/>
      <c r="N44" s="15"/>
      <c r="O44" s="13"/>
      <c r="P44" s="13"/>
      <c r="Q44" s="14"/>
    </row>
    <row r="45" customFormat="false" ht="15" hidden="false" customHeight="false" outlineLevel="0" collapsed="false">
      <c r="A45" s="12"/>
      <c r="B45" s="13"/>
      <c r="C45" s="14"/>
      <c r="D45" s="13"/>
      <c r="E45" s="15"/>
      <c r="F45" s="13"/>
      <c r="G45" s="13"/>
      <c r="H45" s="14"/>
      <c r="I45" s="2"/>
      <c r="J45" s="12"/>
      <c r="K45" s="13"/>
      <c r="L45" s="14"/>
      <c r="M45" s="13"/>
      <c r="N45" s="15"/>
      <c r="O45" s="13"/>
      <c r="P45" s="13"/>
      <c r="Q45" s="14"/>
    </row>
    <row r="46" customFormat="false" ht="15" hidden="false" customHeight="false" outlineLevel="0" collapsed="false">
      <c r="A46" s="12"/>
      <c r="B46" s="13"/>
      <c r="C46" s="14"/>
      <c r="D46" s="13"/>
      <c r="E46" s="15"/>
      <c r="F46" s="13"/>
      <c r="G46" s="13"/>
      <c r="H46" s="14"/>
      <c r="I46" s="2"/>
      <c r="J46" s="12"/>
      <c r="K46" s="13"/>
      <c r="L46" s="14"/>
      <c r="M46" s="13"/>
      <c r="N46" s="15"/>
      <c r="O46" s="13"/>
      <c r="P46" s="13"/>
      <c r="Q46" s="14"/>
    </row>
    <row r="47" customFormat="false" ht="15" hidden="false" customHeight="false" outlineLevel="0" collapsed="false">
      <c r="A47" s="12"/>
      <c r="B47" s="13"/>
      <c r="C47" s="14"/>
      <c r="D47" s="13"/>
      <c r="E47" s="15"/>
      <c r="F47" s="13"/>
      <c r="G47" s="13"/>
      <c r="H47" s="14"/>
      <c r="I47" s="2"/>
      <c r="J47" s="12"/>
      <c r="K47" s="13"/>
      <c r="L47" s="14"/>
      <c r="M47" s="13"/>
      <c r="N47" s="15"/>
      <c r="O47" s="13"/>
      <c r="P47" s="13"/>
      <c r="Q47" s="14"/>
    </row>
    <row r="48" customFormat="false" ht="15" hidden="false" customHeight="false" outlineLevel="0" collapsed="false">
      <c r="A48" s="12"/>
      <c r="B48" s="13"/>
      <c r="C48" s="14"/>
      <c r="D48" s="13"/>
      <c r="E48" s="15"/>
      <c r="F48" s="13"/>
      <c r="G48" s="13"/>
      <c r="H48" s="14"/>
      <c r="I48" s="2"/>
      <c r="J48" s="12"/>
      <c r="K48" s="13"/>
      <c r="L48" s="14"/>
      <c r="M48" s="13"/>
      <c r="N48" s="15"/>
      <c r="O48" s="13"/>
      <c r="P48" s="13"/>
      <c r="Q48" s="14"/>
    </row>
    <row r="49" customFormat="false" ht="15" hidden="false" customHeight="false" outlineLevel="0" collapsed="false">
      <c r="A49" s="16" t="s">
        <v>22</v>
      </c>
      <c r="B49" s="16"/>
      <c r="C49" s="17" t="n">
        <f aca="false">SUM(C9:C48)</f>
        <v>0</v>
      </c>
      <c r="D49" s="18"/>
      <c r="E49" s="18"/>
      <c r="F49" s="18"/>
      <c r="G49" s="18"/>
      <c r="H49" s="17" t="n">
        <f aca="false">SUM(H9:H48)</f>
        <v>0</v>
      </c>
      <c r="I49" s="2"/>
      <c r="J49" s="19" t="s">
        <v>22</v>
      </c>
      <c r="K49" s="19"/>
      <c r="L49" s="20" t="n">
        <f aca="false">SUM(L9:L48)</f>
        <v>0</v>
      </c>
      <c r="M49" s="21"/>
      <c r="N49" s="21"/>
      <c r="O49" s="21"/>
      <c r="P49" s="21"/>
      <c r="Q49" s="20" t="n">
        <f aca="false">SUM(Q9:Q48)</f>
        <v>0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customFormat="false" ht="15" hidden="false" customHeight="false" outlineLevel="0" collapsed="false">
      <c r="A51" s="22" t="s">
        <v>24</v>
      </c>
      <c r="B51" s="22"/>
      <c r="C51" s="22"/>
      <c r="D51" s="22"/>
      <c r="E51" s="22"/>
      <c r="F51" s="22"/>
      <c r="G51" s="22"/>
      <c r="H51" s="22"/>
      <c r="I51" s="2"/>
      <c r="J51" s="23" t="s">
        <v>25</v>
      </c>
      <c r="K51" s="23"/>
      <c r="L51" s="23"/>
      <c r="M51" s="23"/>
      <c r="N51" s="2"/>
      <c r="O51" s="2"/>
      <c r="P51" s="2"/>
      <c r="Q51" s="2"/>
    </row>
    <row r="52" customFormat="false" ht="15" hidden="false" customHeight="false" outlineLevel="0" collapsed="false">
      <c r="A52" s="22" t="s">
        <v>5</v>
      </c>
      <c r="B52" s="22" t="s">
        <v>26</v>
      </c>
      <c r="C52" s="22" t="s">
        <v>27</v>
      </c>
      <c r="D52" s="22"/>
      <c r="E52" s="22"/>
      <c r="F52" s="22"/>
      <c r="G52" s="22" t="s">
        <v>28</v>
      </c>
      <c r="H52" s="22"/>
      <c r="I52" s="2"/>
      <c r="J52" s="23" t="s">
        <v>29</v>
      </c>
      <c r="K52" s="23"/>
      <c r="L52" s="23"/>
      <c r="M52" s="23" t="s">
        <v>28</v>
      </c>
      <c r="N52" s="2"/>
      <c r="O52" s="2"/>
      <c r="P52" s="2"/>
      <c r="Q52" s="2"/>
    </row>
    <row r="53" customFormat="false" ht="15" hidden="false" customHeight="false" outlineLevel="0" collapsed="false">
      <c r="A53" s="12"/>
      <c r="B53" s="13"/>
      <c r="C53" s="13"/>
      <c r="D53" s="13"/>
      <c r="E53" s="13"/>
      <c r="F53" s="13"/>
      <c r="G53" s="14"/>
      <c r="H53" s="14"/>
      <c r="I53" s="2"/>
      <c r="J53" s="24" t="str">
        <f aca="false">設定!$B$5&amp;" 仕入れ合計"</f>
        <v>従業員A 仕入れ合計</v>
      </c>
      <c r="K53" s="24"/>
      <c r="L53" s="24"/>
      <c r="M53" s="25" t="n">
        <f aca="false">C49</f>
        <v>0</v>
      </c>
      <c r="N53" s="2"/>
      <c r="O53" s="2"/>
      <c r="P53" s="2"/>
      <c r="Q53" s="2"/>
    </row>
    <row r="54" customFormat="false" ht="15" hidden="false" customHeight="false" outlineLevel="0" collapsed="false">
      <c r="A54" s="12"/>
      <c r="B54" s="13"/>
      <c r="C54" s="13"/>
      <c r="D54" s="13"/>
      <c r="E54" s="13"/>
      <c r="F54" s="13"/>
      <c r="G54" s="14"/>
      <c r="H54" s="14"/>
      <c r="I54" s="2"/>
      <c r="J54" s="24" t="str">
        <f aca="false">設定!$B$5&amp;" 交通費合計"</f>
        <v>従業員A 交通費合計</v>
      </c>
      <c r="K54" s="24"/>
      <c r="L54" s="24"/>
      <c r="M54" s="25" t="n">
        <f aca="false">H49</f>
        <v>0</v>
      </c>
      <c r="N54" s="2"/>
      <c r="O54" s="2"/>
      <c r="P54" s="2"/>
      <c r="Q54" s="2"/>
    </row>
    <row r="55" customFormat="false" ht="15" hidden="false" customHeight="false" outlineLevel="0" collapsed="false">
      <c r="A55" s="12"/>
      <c r="B55" s="13"/>
      <c r="C55" s="13"/>
      <c r="D55" s="13"/>
      <c r="E55" s="13"/>
      <c r="F55" s="13"/>
      <c r="G55" s="14"/>
      <c r="H55" s="14"/>
      <c r="I55" s="2"/>
      <c r="J55" s="24" t="str">
        <f aca="false">設定!$B$5&amp;" 立替精算額（返金額）"</f>
        <v>従業員A 立替精算額（返金額）</v>
      </c>
      <c r="K55" s="24"/>
      <c r="L55" s="24"/>
      <c r="M55" s="25" t="n">
        <f aca="false">SUMIF(E9:E48,"○",C9:C48)+SUMIF(E9:E48,"○",H9:H48)</f>
        <v>0</v>
      </c>
      <c r="N55" s="2"/>
      <c r="O55" s="2"/>
      <c r="P55" s="2"/>
      <c r="Q55" s="2"/>
    </row>
    <row r="56" customFormat="false" ht="15" hidden="false" customHeight="false" outlineLevel="0" collapsed="false">
      <c r="A56" s="12"/>
      <c r="B56" s="13"/>
      <c r="C56" s="13"/>
      <c r="D56" s="13"/>
      <c r="E56" s="13"/>
      <c r="F56" s="13"/>
      <c r="G56" s="14"/>
      <c r="H56" s="14"/>
      <c r="I56" s="2"/>
      <c r="J56" s="24" t="str">
        <f aca="false">設定!$B$6&amp;" 仕入れ合計"</f>
        <v>従業員B 仕入れ合計</v>
      </c>
      <c r="K56" s="24"/>
      <c r="L56" s="24"/>
      <c r="M56" s="25" t="n">
        <f aca="false">L49</f>
        <v>0</v>
      </c>
      <c r="N56" s="2"/>
      <c r="O56" s="2"/>
      <c r="P56" s="2"/>
      <c r="Q56" s="2"/>
    </row>
    <row r="57" customFormat="false" ht="15" hidden="false" customHeight="false" outlineLevel="0" collapsed="false">
      <c r="A57" s="12"/>
      <c r="B57" s="13"/>
      <c r="C57" s="13"/>
      <c r="D57" s="13"/>
      <c r="E57" s="13"/>
      <c r="F57" s="13"/>
      <c r="G57" s="14"/>
      <c r="H57" s="14"/>
      <c r="I57" s="2"/>
      <c r="J57" s="24" t="str">
        <f aca="false">設定!$B$6&amp;" 交通費合計"</f>
        <v>従業員B 交通費合計</v>
      </c>
      <c r="K57" s="24"/>
      <c r="L57" s="24"/>
      <c r="M57" s="25" t="n">
        <f aca="false">Q49</f>
        <v>0</v>
      </c>
      <c r="N57" s="2"/>
      <c r="O57" s="2"/>
      <c r="P57" s="2"/>
      <c r="Q57" s="2"/>
    </row>
    <row r="58" customFormat="false" ht="15" hidden="false" customHeight="false" outlineLevel="0" collapsed="false">
      <c r="A58" s="12"/>
      <c r="B58" s="13"/>
      <c r="C58" s="13"/>
      <c r="D58" s="13"/>
      <c r="E58" s="13"/>
      <c r="F58" s="13"/>
      <c r="G58" s="14"/>
      <c r="H58" s="14"/>
      <c r="I58" s="2"/>
      <c r="J58" s="24" t="str">
        <f aca="false">設定!$B$6&amp;" 立替精算額（返金額）"</f>
        <v>従業員B 立替精算額（返金額）</v>
      </c>
      <c r="K58" s="24"/>
      <c r="L58" s="24"/>
      <c r="M58" s="25" t="n">
        <f aca="false">SUMIF(N9:N48,"○",L9:L48)+SUMIF(N9:N48,"○",Q9:Q48)</f>
        <v>0</v>
      </c>
      <c r="N58" s="2"/>
      <c r="O58" s="2"/>
      <c r="P58" s="2"/>
      <c r="Q58" s="2"/>
    </row>
    <row r="59" customFormat="false" ht="15" hidden="false" customHeight="false" outlineLevel="0" collapsed="false">
      <c r="A59" s="12"/>
      <c r="B59" s="13"/>
      <c r="C59" s="13"/>
      <c r="D59" s="13"/>
      <c r="E59" s="13"/>
      <c r="F59" s="13"/>
      <c r="G59" s="14"/>
      <c r="H59" s="14"/>
      <c r="I59" s="2"/>
      <c r="J59" s="24" t="str">
        <f aca="false">"共通経費　送料"</f>
        <v>共通経費　送料</v>
      </c>
      <c r="K59" s="24"/>
      <c r="L59" s="24"/>
      <c r="M59" s="25" t="n">
        <f aca="false">SUMIF(B53:B60,"送料",G53:G60)</f>
        <v>0</v>
      </c>
      <c r="N59" s="2"/>
      <c r="O59" s="2"/>
      <c r="P59" s="2"/>
      <c r="Q59" s="2"/>
    </row>
    <row r="60" customFormat="false" ht="15" hidden="false" customHeight="false" outlineLevel="0" collapsed="false">
      <c r="A60" s="12"/>
      <c r="B60" s="13"/>
      <c r="C60" s="13"/>
      <c r="D60" s="13"/>
      <c r="E60" s="13"/>
      <c r="F60" s="13"/>
      <c r="G60" s="14"/>
      <c r="H60" s="14"/>
      <c r="I60" s="2"/>
      <c r="J60" s="24" t="str">
        <f aca="false">"共通経費　その他経費"</f>
        <v>共通経費　その他経費</v>
      </c>
      <c r="K60" s="24"/>
      <c r="L60" s="24"/>
      <c r="M60" s="25" t="n">
        <f aca="false">SUMIF(B53:B60,"その他経費",G53:G60)</f>
        <v>0</v>
      </c>
      <c r="N60" s="2"/>
      <c r="O60" s="2"/>
      <c r="P60" s="2"/>
      <c r="Q60" s="2"/>
    </row>
    <row r="61" customFormat="false" ht="15" hidden="false" customHeight="false" outlineLevel="0" collapsed="false">
      <c r="A61" s="26" t="s">
        <v>34</v>
      </c>
      <c r="B61" s="26"/>
      <c r="C61" s="26"/>
      <c r="D61" s="26"/>
      <c r="E61" s="26"/>
      <c r="F61" s="26"/>
      <c r="G61" s="27" t="n">
        <f aca="false">SUM(G53:G60)</f>
        <v>0</v>
      </c>
      <c r="H61" s="27"/>
      <c r="I61" s="2"/>
      <c r="J61" s="28" t="s">
        <v>35</v>
      </c>
      <c r="K61" s="28"/>
      <c r="L61" s="28"/>
      <c r="M61" s="29" t="n">
        <f aca="false">M53+M54+M56+M57+G61</f>
        <v>0</v>
      </c>
      <c r="N61" s="2"/>
      <c r="O61" s="2"/>
      <c r="P61" s="2"/>
      <c r="Q61" s="2"/>
    </row>
  </sheetData>
  <mergeCells count="36">
    <mergeCell ref="A7:H7"/>
    <mergeCell ref="J7:Q7"/>
    <mergeCell ref="A49:B49"/>
    <mergeCell ref="J49:K49"/>
    <mergeCell ref="A51:H51"/>
    <mergeCell ref="J51:M51"/>
    <mergeCell ref="C52:F52"/>
    <mergeCell ref="G52:H52"/>
    <mergeCell ref="J52:L52"/>
    <mergeCell ref="C53:F53"/>
    <mergeCell ref="G53:H53"/>
    <mergeCell ref="J53:L53"/>
    <mergeCell ref="C54:F54"/>
    <mergeCell ref="G54:H54"/>
    <mergeCell ref="J54:L54"/>
    <mergeCell ref="C55:F55"/>
    <mergeCell ref="G55:H55"/>
    <mergeCell ref="J55:L55"/>
    <mergeCell ref="C56:F56"/>
    <mergeCell ref="G56:H56"/>
    <mergeCell ref="J56:L56"/>
    <mergeCell ref="C57:F57"/>
    <mergeCell ref="G57:H57"/>
    <mergeCell ref="J57:L57"/>
    <mergeCell ref="C58:F58"/>
    <mergeCell ref="G58:H58"/>
    <mergeCell ref="J58:L58"/>
    <mergeCell ref="C59:F59"/>
    <mergeCell ref="G59:H59"/>
    <mergeCell ref="J59:L59"/>
    <mergeCell ref="C60:F60"/>
    <mergeCell ref="G60:H60"/>
    <mergeCell ref="J60:L60"/>
    <mergeCell ref="A61:F61"/>
    <mergeCell ref="G61:H61"/>
    <mergeCell ref="J61:L61"/>
  </mergeCells>
  <dataValidations count="3">
    <dataValidation allowBlank="true" errorStyle="stop" operator="between" prompt="現金／クレジットカード等を選択してください。" promptTitle="支払方法" showDropDown="false" showErrorMessage="false" showInputMessage="false" sqref="D9:D48 M9:M48" type="list">
      <formula1>設定!$D$5:$D$10</formula1>
      <formula2>0</formula2>
    </dataValidation>
    <dataValidation allowBlank="true" errorStyle="stop" operator="between" prompt="従業員が立て替えた行のみ ○ を入力してください。" promptTitle="立替" showDropDown="false" showErrorMessage="false" showInputMessage="false" sqref="E9:E48 N9:N48" type="list">
      <formula1>"○"</formula1>
      <formula2>0</formula2>
    </dataValidation>
    <dataValidation allowBlank="true" errorStyle="stop" operator="between" prompt="送料／その他経費 を選択してください。" promptTitle="経費区分" showDropDown="false" showErrorMessage="false" showInputMessage="false" sqref="B53:B60" type="list">
      <formula1>設定!$F$5:$F$6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2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14"/>
    <col collapsed="false" customWidth="true" hidden="false" outlineLevel="0" max="14" min="14" style="0" width="6"/>
    <col collapsed="false" customWidth="true" hidden="false" outlineLevel="0" max="16" min="15" style="0" width="14"/>
    <col collapsed="false" customWidth="true" hidden="false" outlineLevel="0" max="17" min="17" style="0" width="12"/>
  </cols>
  <sheetData>
    <row r="1" customFormat="false" ht="19.4" hidden="false" customHeight="false" outlineLevel="0" collapsed="false">
      <c r="A1" s="1" t="s">
        <v>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4" t="str">
        <f aca="false">設定!$B$5</f>
        <v>従業員A</v>
      </c>
      <c r="B7" s="4"/>
      <c r="C7" s="4"/>
      <c r="D7" s="4"/>
      <c r="E7" s="4"/>
      <c r="F7" s="4"/>
      <c r="G7" s="4"/>
      <c r="H7" s="4"/>
      <c r="I7" s="2"/>
      <c r="J7" s="5" t="str">
        <f aca="false">設定!$B$6</f>
        <v>従業員B</v>
      </c>
      <c r="K7" s="5"/>
      <c r="L7" s="5"/>
      <c r="M7" s="5"/>
      <c r="N7" s="5"/>
      <c r="O7" s="5"/>
      <c r="P7" s="5"/>
      <c r="Q7" s="5"/>
    </row>
    <row r="8" customFormat="false" ht="31.5" hidden="false" customHeight="true" outlineLevel="0" collapsed="false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2"/>
      <c r="J8" s="7" t="s">
        <v>5</v>
      </c>
      <c r="K8" s="7" t="s">
        <v>6</v>
      </c>
      <c r="L8" s="7" t="s">
        <v>7</v>
      </c>
      <c r="M8" s="7" t="s">
        <v>8</v>
      </c>
      <c r="N8" s="7" t="s">
        <v>9</v>
      </c>
      <c r="O8" s="7" t="s">
        <v>10</v>
      </c>
      <c r="P8" s="7" t="s">
        <v>11</v>
      </c>
      <c r="Q8" s="7" t="s">
        <v>12</v>
      </c>
    </row>
    <row r="9" customFormat="false" ht="15" hidden="false" customHeight="false" outlineLevel="0" collapsed="false">
      <c r="A9" s="12"/>
      <c r="B9" s="13"/>
      <c r="C9" s="14"/>
      <c r="D9" s="13"/>
      <c r="E9" s="15"/>
      <c r="F9" s="13"/>
      <c r="G9" s="13"/>
      <c r="H9" s="14"/>
      <c r="I9" s="2"/>
      <c r="J9" s="12"/>
      <c r="K9" s="13"/>
      <c r="L9" s="14"/>
      <c r="M9" s="13"/>
      <c r="N9" s="15"/>
      <c r="O9" s="13"/>
      <c r="P9" s="13"/>
      <c r="Q9" s="14"/>
    </row>
    <row r="10" customFormat="false" ht="15" hidden="false" customHeight="false" outlineLevel="0" collapsed="false">
      <c r="A10" s="12"/>
      <c r="B10" s="13"/>
      <c r="C10" s="14"/>
      <c r="D10" s="13"/>
      <c r="E10" s="15"/>
      <c r="F10" s="13"/>
      <c r="G10" s="13"/>
      <c r="H10" s="14"/>
      <c r="I10" s="2"/>
      <c r="J10" s="12"/>
      <c r="K10" s="13"/>
      <c r="L10" s="14"/>
      <c r="M10" s="13"/>
      <c r="N10" s="15"/>
      <c r="O10" s="13"/>
      <c r="P10" s="13"/>
      <c r="Q10" s="14"/>
    </row>
    <row r="11" customFormat="false" ht="15" hidden="false" customHeight="false" outlineLevel="0" collapsed="false">
      <c r="A11" s="12"/>
      <c r="B11" s="13"/>
      <c r="C11" s="14"/>
      <c r="D11" s="13"/>
      <c r="E11" s="15"/>
      <c r="F11" s="13"/>
      <c r="G11" s="13"/>
      <c r="H11" s="14"/>
      <c r="I11" s="2"/>
      <c r="J11" s="12"/>
      <c r="K11" s="13"/>
      <c r="L11" s="14"/>
      <c r="M11" s="13"/>
      <c r="N11" s="15"/>
      <c r="O11" s="13"/>
      <c r="P11" s="13"/>
      <c r="Q11" s="14"/>
    </row>
    <row r="12" customFormat="false" ht="15" hidden="false" customHeight="false" outlineLevel="0" collapsed="false">
      <c r="A12" s="12"/>
      <c r="B12" s="13"/>
      <c r="C12" s="14"/>
      <c r="D12" s="13"/>
      <c r="E12" s="15"/>
      <c r="F12" s="13"/>
      <c r="G12" s="13"/>
      <c r="H12" s="14"/>
      <c r="I12" s="2"/>
      <c r="J12" s="12"/>
      <c r="K12" s="13"/>
      <c r="L12" s="14"/>
      <c r="M12" s="13"/>
      <c r="N12" s="15"/>
      <c r="O12" s="13"/>
      <c r="P12" s="13"/>
      <c r="Q12" s="14"/>
    </row>
    <row r="13" customFormat="false" ht="15" hidden="false" customHeight="false" outlineLevel="0" collapsed="false">
      <c r="A13" s="12"/>
      <c r="B13" s="13"/>
      <c r="C13" s="14"/>
      <c r="D13" s="13"/>
      <c r="E13" s="15"/>
      <c r="F13" s="13"/>
      <c r="G13" s="13"/>
      <c r="H13" s="14"/>
      <c r="I13" s="2"/>
      <c r="J13" s="12"/>
      <c r="K13" s="13"/>
      <c r="L13" s="14"/>
      <c r="M13" s="13"/>
      <c r="N13" s="15"/>
      <c r="O13" s="13"/>
      <c r="P13" s="13"/>
      <c r="Q13" s="14"/>
    </row>
    <row r="14" customFormat="false" ht="15" hidden="false" customHeight="false" outlineLevel="0" collapsed="false">
      <c r="A14" s="12"/>
      <c r="B14" s="13"/>
      <c r="C14" s="14"/>
      <c r="D14" s="13"/>
      <c r="E14" s="15"/>
      <c r="F14" s="13"/>
      <c r="G14" s="13"/>
      <c r="H14" s="14"/>
      <c r="I14" s="2"/>
      <c r="J14" s="12"/>
      <c r="K14" s="13"/>
      <c r="L14" s="14"/>
      <c r="M14" s="13"/>
      <c r="N14" s="15"/>
      <c r="O14" s="13"/>
      <c r="P14" s="13"/>
      <c r="Q14" s="14"/>
    </row>
    <row r="15" customFormat="false" ht="15" hidden="false" customHeight="false" outlineLevel="0" collapsed="false">
      <c r="A15" s="12"/>
      <c r="B15" s="13"/>
      <c r="C15" s="14"/>
      <c r="D15" s="13"/>
      <c r="E15" s="15"/>
      <c r="F15" s="13"/>
      <c r="G15" s="13"/>
      <c r="H15" s="14"/>
      <c r="I15" s="2"/>
      <c r="J15" s="12"/>
      <c r="K15" s="13"/>
      <c r="L15" s="14"/>
      <c r="M15" s="13"/>
      <c r="N15" s="15"/>
      <c r="O15" s="13"/>
      <c r="P15" s="13"/>
      <c r="Q15" s="14"/>
    </row>
    <row r="16" customFormat="false" ht="15" hidden="false" customHeight="false" outlineLevel="0" collapsed="false">
      <c r="A16" s="12"/>
      <c r="B16" s="13"/>
      <c r="C16" s="14"/>
      <c r="D16" s="13"/>
      <c r="E16" s="15"/>
      <c r="F16" s="13"/>
      <c r="G16" s="13"/>
      <c r="H16" s="14"/>
      <c r="I16" s="2"/>
      <c r="J16" s="12"/>
      <c r="K16" s="13"/>
      <c r="L16" s="14"/>
      <c r="M16" s="13"/>
      <c r="N16" s="15"/>
      <c r="O16" s="13"/>
      <c r="P16" s="13"/>
      <c r="Q16" s="14"/>
    </row>
    <row r="17" customFormat="false" ht="15" hidden="false" customHeight="false" outlineLevel="0" collapsed="false">
      <c r="A17" s="12"/>
      <c r="B17" s="13"/>
      <c r="C17" s="14"/>
      <c r="D17" s="13"/>
      <c r="E17" s="15"/>
      <c r="F17" s="13"/>
      <c r="G17" s="13"/>
      <c r="H17" s="14"/>
      <c r="I17" s="2"/>
      <c r="J17" s="12"/>
      <c r="K17" s="13"/>
      <c r="L17" s="14"/>
      <c r="M17" s="13"/>
      <c r="N17" s="15"/>
      <c r="O17" s="13"/>
      <c r="P17" s="13"/>
      <c r="Q17" s="14"/>
    </row>
    <row r="18" customFormat="false" ht="15" hidden="false" customHeight="false" outlineLevel="0" collapsed="false">
      <c r="A18" s="12"/>
      <c r="B18" s="13"/>
      <c r="C18" s="14"/>
      <c r="D18" s="13"/>
      <c r="E18" s="15"/>
      <c r="F18" s="13"/>
      <c r="G18" s="13"/>
      <c r="H18" s="14"/>
      <c r="I18" s="2"/>
      <c r="J18" s="12"/>
      <c r="K18" s="13"/>
      <c r="L18" s="14"/>
      <c r="M18" s="13"/>
      <c r="N18" s="15"/>
      <c r="O18" s="13"/>
      <c r="P18" s="13"/>
      <c r="Q18" s="14"/>
    </row>
    <row r="19" customFormat="false" ht="15" hidden="false" customHeight="false" outlineLevel="0" collapsed="false">
      <c r="A19" s="12"/>
      <c r="B19" s="13"/>
      <c r="C19" s="14"/>
      <c r="D19" s="13"/>
      <c r="E19" s="15"/>
      <c r="F19" s="13"/>
      <c r="G19" s="13"/>
      <c r="H19" s="14"/>
      <c r="I19" s="2"/>
      <c r="J19" s="12"/>
      <c r="K19" s="13"/>
      <c r="L19" s="14"/>
      <c r="M19" s="13"/>
      <c r="N19" s="15"/>
      <c r="O19" s="13"/>
      <c r="P19" s="13"/>
      <c r="Q19" s="14"/>
    </row>
    <row r="20" customFormat="false" ht="15" hidden="false" customHeight="false" outlineLevel="0" collapsed="false">
      <c r="A20" s="12"/>
      <c r="B20" s="13"/>
      <c r="C20" s="14"/>
      <c r="D20" s="13"/>
      <c r="E20" s="15"/>
      <c r="F20" s="13"/>
      <c r="G20" s="13"/>
      <c r="H20" s="14"/>
      <c r="I20" s="2"/>
      <c r="J20" s="12"/>
      <c r="K20" s="13"/>
      <c r="L20" s="14"/>
      <c r="M20" s="13"/>
      <c r="N20" s="15"/>
      <c r="O20" s="13"/>
      <c r="P20" s="13"/>
      <c r="Q20" s="14"/>
    </row>
    <row r="21" customFormat="false" ht="15" hidden="false" customHeight="false" outlineLevel="0" collapsed="false">
      <c r="A21" s="12"/>
      <c r="B21" s="13"/>
      <c r="C21" s="14"/>
      <c r="D21" s="13"/>
      <c r="E21" s="15"/>
      <c r="F21" s="13"/>
      <c r="G21" s="13"/>
      <c r="H21" s="14"/>
      <c r="I21" s="2"/>
      <c r="J21" s="12"/>
      <c r="K21" s="13"/>
      <c r="L21" s="14"/>
      <c r="M21" s="13"/>
      <c r="N21" s="15"/>
      <c r="O21" s="13"/>
      <c r="P21" s="13"/>
      <c r="Q21" s="14"/>
    </row>
    <row r="22" customFormat="false" ht="15" hidden="false" customHeight="false" outlineLevel="0" collapsed="false">
      <c r="A22" s="12"/>
      <c r="B22" s="13"/>
      <c r="C22" s="14"/>
      <c r="D22" s="13"/>
      <c r="E22" s="15"/>
      <c r="F22" s="13"/>
      <c r="G22" s="13"/>
      <c r="H22" s="14"/>
      <c r="I22" s="2"/>
      <c r="J22" s="12"/>
      <c r="K22" s="13"/>
      <c r="L22" s="14"/>
      <c r="M22" s="13"/>
      <c r="N22" s="15"/>
      <c r="O22" s="13"/>
      <c r="P22" s="13"/>
      <c r="Q22" s="14"/>
    </row>
    <row r="23" customFormat="false" ht="15" hidden="false" customHeight="false" outlineLevel="0" collapsed="false">
      <c r="A23" s="12"/>
      <c r="B23" s="13"/>
      <c r="C23" s="14"/>
      <c r="D23" s="13"/>
      <c r="E23" s="15"/>
      <c r="F23" s="13"/>
      <c r="G23" s="13"/>
      <c r="H23" s="14"/>
      <c r="I23" s="2"/>
      <c r="J23" s="12"/>
      <c r="K23" s="13"/>
      <c r="L23" s="14"/>
      <c r="M23" s="13"/>
      <c r="N23" s="15"/>
      <c r="O23" s="13"/>
      <c r="P23" s="13"/>
      <c r="Q23" s="14"/>
    </row>
    <row r="24" customFormat="false" ht="15" hidden="false" customHeight="false" outlineLevel="0" collapsed="false">
      <c r="A24" s="12"/>
      <c r="B24" s="13"/>
      <c r="C24" s="14"/>
      <c r="D24" s="13"/>
      <c r="E24" s="15"/>
      <c r="F24" s="13"/>
      <c r="G24" s="13"/>
      <c r="H24" s="14"/>
      <c r="I24" s="2"/>
      <c r="J24" s="12"/>
      <c r="K24" s="13"/>
      <c r="L24" s="14"/>
      <c r="M24" s="13"/>
      <c r="N24" s="15"/>
      <c r="O24" s="13"/>
      <c r="P24" s="13"/>
      <c r="Q24" s="14"/>
    </row>
    <row r="25" customFormat="false" ht="15" hidden="false" customHeight="false" outlineLevel="0" collapsed="false">
      <c r="A25" s="12"/>
      <c r="B25" s="13"/>
      <c r="C25" s="14"/>
      <c r="D25" s="13"/>
      <c r="E25" s="15"/>
      <c r="F25" s="13"/>
      <c r="G25" s="13"/>
      <c r="H25" s="14"/>
      <c r="I25" s="2"/>
      <c r="J25" s="12"/>
      <c r="K25" s="13"/>
      <c r="L25" s="14"/>
      <c r="M25" s="13"/>
      <c r="N25" s="15"/>
      <c r="O25" s="13"/>
      <c r="P25" s="13"/>
      <c r="Q25" s="14"/>
    </row>
    <row r="26" customFormat="false" ht="15" hidden="false" customHeight="false" outlineLevel="0" collapsed="false">
      <c r="A26" s="12"/>
      <c r="B26" s="13"/>
      <c r="C26" s="14"/>
      <c r="D26" s="13"/>
      <c r="E26" s="15"/>
      <c r="F26" s="13"/>
      <c r="G26" s="13"/>
      <c r="H26" s="14"/>
      <c r="I26" s="2"/>
      <c r="J26" s="12"/>
      <c r="K26" s="13"/>
      <c r="L26" s="14"/>
      <c r="M26" s="13"/>
      <c r="N26" s="15"/>
      <c r="O26" s="13"/>
      <c r="P26" s="13"/>
      <c r="Q26" s="14"/>
    </row>
    <row r="27" customFormat="false" ht="15" hidden="false" customHeight="false" outlineLevel="0" collapsed="false">
      <c r="A27" s="12"/>
      <c r="B27" s="13"/>
      <c r="C27" s="14"/>
      <c r="D27" s="13"/>
      <c r="E27" s="15"/>
      <c r="F27" s="13"/>
      <c r="G27" s="13"/>
      <c r="H27" s="14"/>
      <c r="I27" s="2"/>
      <c r="J27" s="12"/>
      <c r="K27" s="13"/>
      <c r="L27" s="14"/>
      <c r="M27" s="13"/>
      <c r="N27" s="15"/>
      <c r="O27" s="13"/>
      <c r="P27" s="13"/>
      <c r="Q27" s="14"/>
    </row>
    <row r="28" customFormat="false" ht="15" hidden="false" customHeight="false" outlineLevel="0" collapsed="false">
      <c r="A28" s="12"/>
      <c r="B28" s="13"/>
      <c r="C28" s="14"/>
      <c r="D28" s="13"/>
      <c r="E28" s="15"/>
      <c r="F28" s="13"/>
      <c r="G28" s="13"/>
      <c r="H28" s="14"/>
      <c r="I28" s="2"/>
      <c r="J28" s="12"/>
      <c r="K28" s="13"/>
      <c r="L28" s="14"/>
      <c r="M28" s="13"/>
      <c r="N28" s="15"/>
      <c r="O28" s="13"/>
      <c r="P28" s="13"/>
      <c r="Q28" s="14"/>
    </row>
    <row r="29" customFormat="false" ht="15" hidden="false" customHeight="false" outlineLevel="0" collapsed="false">
      <c r="A29" s="12"/>
      <c r="B29" s="13"/>
      <c r="C29" s="14"/>
      <c r="D29" s="13"/>
      <c r="E29" s="15"/>
      <c r="F29" s="13"/>
      <c r="G29" s="13"/>
      <c r="H29" s="14"/>
      <c r="I29" s="2"/>
      <c r="J29" s="12"/>
      <c r="K29" s="13"/>
      <c r="L29" s="14"/>
      <c r="M29" s="13"/>
      <c r="N29" s="15"/>
      <c r="O29" s="13"/>
      <c r="P29" s="13"/>
      <c r="Q29" s="14"/>
    </row>
    <row r="30" customFormat="false" ht="15" hidden="false" customHeight="false" outlineLevel="0" collapsed="false">
      <c r="A30" s="12"/>
      <c r="B30" s="13"/>
      <c r="C30" s="14"/>
      <c r="D30" s="13"/>
      <c r="E30" s="15"/>
      <c r="F30" s="13"/>
      <c r="G30" s="13"/>
      <c r="H30" s="14"/>
      <c r="I30" s="2"/>
      <c r="J30" s="12"/>
      <c r="K30" s="13"/>
      <c r="L30" s="14"/>
      <c r="M30" s="13"/>
      <c r="N30" s="15"/>
      <c r="O30" s="13"/>
      <c r="P30" s="13"/>
      <c r="Q30" s="14"/>
    </row>
    <row r="31" customFormat="false" ht="15" hidden="false" customHeight="false" outlineLevel="0" collapsed="false">
      <c r="A31" s="12"/>
      <c r="B31" s="13"/>
      <c r="C31" s="14"/>
      <c r="D31" s="13"/>
      <c r="E31" s="15"/>
      <c r="F31" s="13"/>
      <c r="G31" s="13"/>
      <c r="H31" s="14"/>
      <c r="I31" s="2"/>
      <c r="J31" s="12"/>
      <c r="K31" s="13"/>
      <c r="L31" s="14"/>
      <c r="M31" s="13"/>
      <c r="N31" s="15"/>
      <c r="O31" s="13"/>
      <c r="P31" s="13"/>
      <c r="Q31" s="14"/>
    </row>
    <row r="32" customFormat="false" ht="15" hidden="false" customHeight="false" outlineLevel="0" collapsed="false">
      <c r="A32" s="12"/>
      <c r="B32" s="13"/>
      <c r="C32" s="14"/>
      <c r="D32" s="13"/>
      <c r="E32" s="15"/>
      <c r="F32" s="13"/>
      <c r="G32" s="13"/>
      <c r="H32" s="14"/>
      <c r="I32" s="2"/>
      <c r="J32" s="12"/>
      <c r="K32" s="13"/>
      <c r="L32" s="14"/>
      <c r="M32" s="13"/>
      <c r="N32" s="15"/>
      <c r="O32" s="13"/>
      <c r="P32" s="13"/>
      <c r="Q32" s="14"/>
    </row>
    <row r="33" customFormat="false" ht="15" hidden="false" customHeight="false" outlineLevel="0" collapsed="false">
      <c r="A33" s="12"/>
      <c r="B33" s="13"/>
      <c r="C33" s="14"/>
      <c r="D33" s="13"/>
      <c r="E33" s="15"/>
      <c r="F33" s="13"/>
      <c r="G33" s="13"/>
      <c r="H33" s="14"/>
      <c r="I33" s="2"/>
      <c r="J33" s="12"/>
      <c r="K33" s="13"/>
      <c r="L33" s="14"/>
      <c r="M33" s="13"/>
      <c r="N33" s="15"/>
      <c r="O33" s="13"/>
      <c r="P33" s="13"/>
      <c r="Q33" s="14"/>
    </row>
    <row r="34" customFormat="false" ht="15" hidden="false" customHeight="false" outlineLevel="0" collapsed="false">
      <c r="A34" s="12"/>
      <c r="B34" s="13"/>
      <c r="C34" s="14"/>
      <c r="D34" s="13"/>
      <c r="E34" s="15"/>
      <c r="F34" s="13"/>
      <c r="G34" s="13"/>
      <c r="H34" s="14"/>
      <c r="I34" s="2"/>
      <c r="J34" s="12"/>
      <c r="K34" s="13"/>
      <c r="L34" s="14"/>
      <c r="M34" s="13"/>
      <c r="N34" s="15"/>
      <c r="O34" s="13"/>
      <c r="P34" s="13"/>
      <c r="Q34" s="14"/>
    </row>
    <row r="35" customFormat="false" ht="15" hidden="false" customHeight="false" outlineLevel="0" collapsed="false">
      <c r="A35" s="12"/>
      <c r="B35" s="13"/>
      <c r="C35" s="14"/>
      <c r="D35" s="13"/>
      <c r="E35" s="15"/>
      <c r="F35" s="13"/>
      <c r="G35" s="13"/>
      <c r="H35" s="14"/>
      <c r="I35" s="2"/>
      <c r="J35" s="12"/>
      <c r="K35" s="13"/>
      <c r="L35" s="14"/>
      <c r="M35" s="13"/>
      <c r="N35" s="15"/>
      <c r="O35" s="13"/>
      <c r="P35" s="13"/>
      <c r="Q35" s="14"/>
    </row>
    <row r="36" customFormat="false" ht="15" hidden="false" customHeight="false" outlineLevel="0" collapsed="false">
      <c r="A36" s="12"/>
      <c r="B36" s="13"/>
      <c r="C36" s="14"/>
      <c r="D36" s="13"/>
      <c r="E36" s="15"/>
      <c r="F36" s="13"/>
      <c r="G36" s="13"/>
      <c r="H36" s="14"/>
      <c r="I36" s="2"/>
      <c r="J36" s="12"/>
      <c r="K36" s="13"/>
      <c r="L36" s="14"/>
      <c r="M36" s="13"/>
      <c r="N36" s="15"/>
      <c r="O36" s="13"/>
      <c r="P36" s="13"/>
      <c r="Q36" s="14"/>
    </row>
    <row r="37" customFormat="false" ht="15" hidden="false" customHeight="false" outlineLevel="0" collapsed="false">
      <c r="A37" s="12"/>
      <c r="B37" s="13"/>
      <c r="C37" s="14"/>
      <c r="D37" s="13"/>
      <c r="E37" s="15"/>
      <c r="F37" s="13"/>
      <c r="G37" s="13"/>
      <c r="H37" s="14"/>
      <c r="I37" s="2"/>
      <c r="J37" s="12"/>
      <c r="K37" s="13"/>
      <c r="L37" s="14"/>
      <c r="M37" s="13"/>
      <c r="N37" s="15"/>
      <c r="O37" s="13"/>
      <c r="P37" s="13"/>
      <c r="Q37" s="14"/>
    </row>
    <row r="38" customFormat="false" ht="15" hidden="false" customHeight="false" outlineLevel="0" collapsed="false">
      <c r="A38" s="12"/>
      <c r="B38" s="13"/>
      <c r="C38" s="14"/>
      <c r="D38" s="13"/>
      <c r="E38" s="15"/>
      <c r="F38" s="13"/>
      <c r="G38" s="13"/>
      <c r="H38" s="14"/>
      <c r="I38" s="2"/>
      <c r="J38" s="12"/>
      <c r="K38" s="13"/>
      <c r="L38" s="14"/>
      <c r="M38" s="13"/>
      <c r="N38" s="15"/>
      <c r="O38" s="13"/>
      <c r="P38" s="13"/>
      <c r="Q38" s="14"/>
    </row>
    <row r="39" customFormat="false" ht="15" hidden="false" customHeight="false" outlineLevel="0" collapsed="false">
      <c r="A39" s="12"/>
      <c r="B39" s="13"/>
      <c r="C39" s="14"/>
      <c r="D39" s="13"/>
      <c r="E39" s="15"/>
      <c r="F39" s="13"/>
      <c r="G39" s="13"/>
      <c r="H39" s="14"/>
      <c r="I39" s="2"/>
      <c r="J39" s="12"/>
      <c r="K39" s="13"/>
      <c r="L39" s="14"/>
      <c r="M39" s="13"/>
      <c r="N39" s="15"/>
      <c r="O39" s="13"/>
      <c r="P39" s="13"/>
      <c r="Q39" s="14"/>
    </row>
    <row r="40" customFormat="false" ht="15" hidden="false" customHeight="false" outlineLevel="0" collapsed="false">
      <c r="A40" s="12"/>
      <c r="B40" s="13"/>
      <c r="C40" s="14"/>
      <c r="D40" s="13"/>
      <c r="E40" s="15"/>
      <c r="F40" s="13"/>
      <c r="G40" s="13"/>
      <c r="H40" s="14"/>
      <c r="I40" s="2"/>
      <c r="J40" s="12"/>
      <c r="K40" s="13"/>
      <c r="L40" s="14"/>
      <c r="M40" s="13"/>
      <c r="N40" s="15"/>
      <c r="O40" s="13"/>
      <c r="P40" s="13"/>
      <c r="Q40" s="14"/>
    </row>
    <row r="41" customFormat="false" ht="15" hidden="false" customHeight="false" outlineLevel="0" collapsed="false">
      <c r="A41" s="12"/>
      <c r="B41" s="13"/>
      <c r="C41" s="14"/>
      <c r="D41" s="13"/>
      <c r="E41" s="15"/>
      <c r="F41" s="13"/>
      <c r="G41" s="13"/>
      <c r="H41" s="14"/>
      <c r="I41" s="2"/>
      <c r="J41" s="12"/>
      <c r="K41" s="13"/>
      <c r="L41" s="14"/>
      <c r="M41" s="13"/>
      <c r="N41" s="15"/>
      <c r="O41" s="13"/>
      <c r="P41" s="13"/>
      <c r="Q41" s="14"/>
    </row>
    <row r="42" customFormat="false" ht="15" hidden="false" customHeight="false" outlineLevel="0" collapsed="false">
      <c r="A42" s="12"/>
      <c r="B42" s="13"/>
      <c r="C42" s="14"/>
      <c r="D42" s="13"/>
      <c r="E42" s="15"/>
      <c r="F42" s="13"/>
      <c r="G42" s="13"/>
      <c r="H42" s="14"/>
      <c r="I42" s="2"/>
      <c r="J42" s="12"/>
      <c r="K42" s="13"/>
      <c r="L42" s="14"/>
      <c r="M42" s="13"/>
      <c r="N42" s="15"/>
      <c r="O42" s="13"/>
      <c r="P42" s="13"/>
      <c r="Q42" s="14"/>
    </row>
    <row r="43" customFormat="false" ht="15" hidden="false" customHeight="false" outlineLevel="0" collapsed="false">
      <c r="A43" s="12"/>
      <c r="B43" s="13"/>
      <c r="C43" s="14"/>
      <c r="D43" s="13"/>
      <c r="E43" s="15"/>
      <c r="F43" s="13"/>
      <c r="G43" s="13"/>
      <c r="H43" s="14"/>
      <c r="I43" s="2"/>
      <c r="J43" s="12"/>
      <c r="K43" s="13"/>
      <c r="L43" s="14"/>
      <c r="M43" s="13"/>
      <c r="N43" s="15"/>
      <c r="O43" s="13"/>
      <c r="P43" s="13"/>
      <c r="Q43" s="14"/>
    </row>
    <row r="44" customFormat="false" ht="15" hidden="false" customHeight="false" outlineLevel="0" collapsed="false">
      <c r="A44" s="12"/>
      <c r="B44" s="13"/>
      <c r="C44" s="14"/>
      <c r="D44" s="13"/>
      <c r="E44" s="15"/>
      <c r="F44" s="13"/>
      <c r="G44" s="13"/>
      <c r="H44" s="14"/>
      <c r="I44" s="2"/>
      <c r="J44" s="12"/>
      <c r="K44" s="13"/>
      <c r="L44" s="14"/>
      <c r="M44" s="13"/>
      <c r="N44" s="15"/>
      <c r="O44" s="13"/>
      <c r="P44" s="13"/>
      <c r="Q44" s="14"/>
    </row>
    <row r="45" customFormat="false" ht="15" hidden="false" customHeight="false" outlineLevel="0" collapsed="false">
      <c r="A45" s="12"/>
      <c r="B45" s="13"/>
      <c r="C45" s="14"/>
      <c r="D45" s="13"/>
      <c r="E45" s="15"/>
      <c r="F45" s="13"/>
      <c r="G45" s="13"/>
      <c r="H45" s="14"/>
      <c r="I45" s="2"/>
      <c r="J45" s="12"/>
      <c r="K45" s="13"/>
      <c r="L45" s="14"/>
      <c r="M45" s="13"/>
      <c r="N45" s="15"/>
      <c r="O45" s="13"/>
      <c r="P45" s="13"/>
      <c r="Q45" s="14"/>
    </row>
    <row r="46" customFormat="false" ht="15" hidden="false" customHeight="false" outlineLevel="0" collapsed="false">
      <c r="A46" s="12"/>
      <c r="B46" s="13"/>
      <c r="C46" s="14"/>
      <c r="D46" s="13"/>
      <c r="E46" s="15"/>
      <c r="F46" s="13"/>
      <c r="G46" s="13"/>
      <c r="H46" s="14"/>
      <c r="I46" s="2"/>
      <c r="J46" s="12"/>
      <c r="K46" s="13"/>
      <c r="L46" s="14"/>
      <c r="M46" s="13"/>
      <c r="N46" s="15"/>
      <c r="O46" s="13"/>
      <c r="P46" s="13"/>
      <c r="Q46" s="14"/>
    </row>
    <row r="47" customFormat="false" ht="15" hidden="false" customHeight="false" outlineLevel="0" collapsed="false">
      <c r="A47" s="12"/>
      <c r="B47" s="13"/>
      <c r="C47" s="14"/>
      <c r="D47" s="13"/>
      <c r="E47" s="15"/>
      <c r="F47" s="13"/>
      <c r="G47" s="13"/>
      <c r="H47" s="14"/>
      <c r="I47" s="2"/>
      <c r="J47" s="12"/>
      <c r="K47" s="13"/>
      <c r="L47" s="14"/>
      <c r="M47" s="13"/>
      <c r="N47" s="15"/>
      <c r="O47" s="13"/>
      <c r="P47" s="13"/>
      <c r="Q47" s="14"/>
    </row>
    <row r="48" customFormat="false" ht="15" hidden="false" customHeight="false" outlineLevel="0" collapsed="false">
      <c r="A48" s="12"/>
      <c r="B48" s="13"/>
      <c r="C48" s="14"/>
      <c r="D48" s="13"/>
      <c r="E48" s="15"/>
      <c r="F48" s="13"/>
      <c r="G48" s="13"/>
      <c r="H48" s="14"/>
      <c r="I48" s="2"/>
      <c r="J48" s="12"/>
      <c r="K48" s="13"/>
      <c r="L48" s="14"/>
      <c r="M48" s="13"/>
      <c r="N48" s="15"/>
      <c r="O48" s="13"/>
      <c r="P48" s="13"/>
      <c r="Q48" s="14"/>
    </row>
    <row r="49" customFormat="false" ht="15" hidden="false" customHeight="false" outlineLevel="0" collapsed="false">
      <c r="A49" s="16" t="s">
        <v>22</v>
      </c>
      <c r="B49" s="16"/>
      <c r="C49" s="17" t="n">
        <f aca="false">SUM(C9:C48)</f>
        <v>0</v>
      </c>
      <c r="D49" s="18"/>
      <c r="E49" s="18"/>
      <c r="F49" s="18"/>
      <c r="G49" s="18"/>
      <c r="H49" s="17" t="n">
        <f aca="false">SUM(H9:H48)</f>
        <v>0</v>
      </c>
      <c r="I49" s="2"/>
      <c r="J49" s="19" t="s">
        <v>22</v>
      </c>
      <c r="K49" s="19"/>
      <c r="L49" s="20" t="n">
        <f aca="false">SUM(L9:L48)</f>
        <v>0</v>
      </c>
      <c r="M49" s="21"/>
      <c r="N49" s="21"/>
      <c r="O49" s="21"/>
      <c r="P49" s="21"/>
      <c r="Q49" s="20" t="n">
        <f aca="false">SUM(Q9:Q48)</f>
        <v>0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customFormat="false" ht="15" hidden="false" customHeight="false" outlineLevel="0" collapsed="false">
      <c r="A51" s="22" t="s">
        <v>24</v>
      </c>
      <c r="B51" s="22"/>
      <c r="C51" s="22"/>
      <c r="D51" s="22"/>
      <c r="E51" s="22"/>
      <c r="F51" s="22"/>
      <c r="G51" s="22"/>
      <c r="H51" s="22"/>
      <c r="I51" s="2"/>
      <c r="J51" s="23" t="s">
        <v>25</v>
      </c>
      <c r="K51" s="23"/>
      <c r="L51" s="23"/>
      <c r="M51" s="23"/>
      <c r="N51" s="2"/>
      <c r="O51" s="2"/>
      <c r="P51" s="2"/>
      <c r="Q51" s="2"/>
    </row>
    <row r="52" customFormat="false" ht="15" hidden="false" customHeight="false" outlineLevel="0" collapsed="false">
      <c r="A52" s="22" t="s">
        <v>5</v>
      </c>
      <c r="B52" s="22" t="s">
        <v>26</v>
      </c>
      <c r="C52" s="22" t="s">
        <v>27</v>
      </c>
      <c r="D52" s="22"/>
      <c r="E52" s="22"/>
      <c r="F52" s="22"/>
      <c r="G52" s="22" t="s">
        <v>28</v>
      </c>
      <c r="H52" s="22"/>
      <c r="I52" s="2"/>
      <c r="J52" s="23" t="s">
        <v>29</v>
      </c>
      <c r="K52" s="23"/>
      <c r="L52" s="23"/>
      <c r="M52" s="23" t="s">
        <v>28</v>
      </c>
      <c r="N52" s="2"/>
      <c r="O52" s="2"/>
      <c r="P52" s="2"/>
      <c r="Q52" s="2"/>
    </row>
    <row r="53" customFormat="false" ht="15" hidden="false" customHeight="false" outlineLevel="0" collapsed="false">
      <c r="A53" s="12"/>
      <c r="B53" s="13"/>
      <c r="C53" s="13"/>
      <c r="D53" s="13"/>
      <c r="E53" s="13"/>
      <c r="F53" s="13"/>
      <c r="G53" s="14"/>
      <c r="H53" s="14"/>
      <c r="I53" s="2"/>
      <c r="J53" s="24" t="str">
        <f aca="false">設定!$B$5&amp;" 仕入れ合計"</f>
        <v>従業員A 仕入れ合計</v>
      </c>
      <c r="K53" s="24"/>
      <c r="L53" s="24"/>
      <c r="M53" s="25" t="n">
        <f aca="false">C49</f>
        <v>0</v>
      </c>
      <c r="N53" s="2"/>
      <c r="O53" s="2"/>
      <c r="P53" s="2"/>
      <c r="Q53" s="2"/>
    </row>
    <row r="54" customFormat="false" ht="15" hidden="false" customHeight="false" outlineLevel="0" collapsed="false">
      <c r="A54" s="12"/>
      <c r="B54" s="13"/>
      <c r="C54" s="13"/>
      <c r="D54" s="13"/>
      <c r="E54" s="13"/>
      <c r="F54" s="13"/>
      <c r="G54" s="14"/>
      <c r="H54" s="14"/>
      <c r="I54" s="2"/>
      <c r="J54" s="24" t="str">
        <f aca="false">設定!$B$5&amp;" 交通費合計"</f>
        <v>従業員A 交通費合計</v>
      </c>
      <c r="K54" s="24"/>
      <c r="L54" s="24"/>
      <c r="M54" s="25" t="n">
        <f aca="false">H49</f>
        <v>0</v>
      </c>
      <c r="N54" s="2"/>
      <c r="O54" s="2"/>
      <c r="P54" s="2"/>
      <c r="Q54" s="2"/>
    </row>
    <row r="55" customFormat="false" ht="15" hidden="false" customHeight="false" outlineLevel="0" collapsed="false">
      <c r="A55" s="12"/>
      <c r="B55" s="13"/>
      <c r="C55" s="13"/>
      <c r="D55" s="13"/>
      <c r="E55" s="13"/>
      <c r="F55" s="13"/>
      <c r="G55" s="14"/>
      <c r="H55" s="14"/>
      <c r="I55" s="2"/>
      <c r="J55" s="24" t="str">
        <f aca="false">設定!$B$5&amp;" 立替精算額（返金額）"</f>
        <v>従業員A 立替精算額（返金額）</v>
      </c>
      <c r="K55" s="24"/>
      <c r="L55" s="24"/>
      <c r="M55" s="25" t="n">
        <f aca="false">SUMIF(E9:E48,"○",C9:C48)+SUMIF(E9:E48,"○",H9:H48)</f>
        <v>0</v>
      </c>
      <c r="N55" s="2"/>
      <c r="O55" s="2"/>
      <c r="P55" s="2"/>
      <c r="Q55" s="2"/>
    </row>
    <row r="56" customFormat="false" ht="15" hidden="false" customHeight="false" outlineLevel="0" collapsed="false">
      <c r="A56" s="12"/>
      <c r="B56" s="13"/>
      <c r="C56" s="13"/>
      <c r="D56" s="13"/>
      <c r="E56" s="13"/>
      <c r="F56" s="13"/>
      <c r="G56" s="14"/>
      <c r="H56" s="14"/>
      <c r="I56" s="2"/>
      <c r="J56" s="24" t="str">
        <f aca="false">設定!$B$6&amp;" 仕入れ合計"</f>
        <v>従業員B 仕入れ合計</v>
      </c>
      <c r="K56" s="24"/>
      <c r="L56" s="24"/>
      <c r="M56" s="25" t="n">
        <f aca="false">L49</f>
        <v>0</v>
      </c>
      <c r="N56" s="2"/>
      <c r="O56" s="2"/>
      <c r="P56" s="2"/>
      <c r="Q56" s="2"/>
    </row>
    <row r="57" customFormat="false" ht="15" hidden="false" customHeight="false" outlineLevel="0" collapsed="false">
      <c r="A57" s="12"/>
      <c r="B57" s="13"/>
      <c r="C57" s="13"/>
      <c r="D57" s="13"/>
      <c r="E57" s="13"/>
      <c r="F57" s="13"/>
      <c r="G57" s="14"/>
      <c r="H57" s="14"/>
      <c r="I57" s="2"/>
      <c r="J57" s="24" t="str">
        <f aca="false">設定!$B$6&amp;" 交通費合計"</f>
        <v>従業員B 交通費合計</v>
      </c>
      <c r="K57" s="24"/>
      <c r="L57" s="24"/>
      <c r="M57" s="25" t="n">
        <f aca="false">Q49</f>
        <v>0</v>
      </c>
      <c r="N57" s="2"/>
      <c r="O57" s="2"/>
      <c r="P57" s="2"/>
      <c r="Q57" s="2"/>
    </row>
    <row r="58" customFormat="false" ht="15" hidden="false" customHeight="false" outlineLevel="0" collapsed="false">
      <c r="A58" s="12"/>
      <c r="B58" s="13"/>
      <c r="C58" s="13"/>
      <c r="D58" s="13"/>
      <c r="E58" s="13"/>
      <c r="F58" s="13"/>
      <c r="G58" s="14"/>
      <c r="H58" s="14"/>
      <c r="I58" s="2"/>
      <c r="J58" s="24" t="str">
        <f aca="false">設定!$B$6&amp;" 立替精算額（返金額）"</f>
        <v>従業員B 立替精算額（返金額）</v>
      </c>
      <c r="K58" s="24"/>
      <c r="L58" s="24"/>
      <c r="M58" s="25" t="n">
        <f aca="false">SUMIF(N9:N48,"○",L9:L48)+SUMIF(N9:N48,"○",Q9:Q48)</f>
        <v>0</v>
      </c>
      <c r="N58" s="2"/>
      <c r="O58" s="2"/>
      <c r="P58" s="2"/>
      <c r="Q58" s="2"/>
    </row>
    <row r="59" customFormat="false" ht="15" hidden="false" customHeight="false" outlineLevel="0" collapsed="false">
      <c r="A59" s="12"/>
      <c r="B59" s="13"/>
      <c r="C59" s="13"/>
      <c r="D59" s="13"/>
      <c r="E59" s="13"/>
      <c r="F59" s="13"/>
      <c r="G59" s="14"/>
      <c r="H59" s="14"/>
      <c r="I59" s="2"/>
      <c r="J59" s="24" t="str">
        <f aca="false">"共通経費　送料"</f>
        <v>共通経費　送料</v>
      </c>
      <c r="K59" s="24"/>
      <c r="L59" s="24"/>
      <c r="M59" s="25" t="n">
        <f aca="false">SUMIF(B53:B60,"送料",G53:G60)</f>
        <v>0</v>
      </c>
      <c r="N59" s="2"/>
      <c r="O59" s="2"/>
      <c r="P59" s="2"/>
      <c r="Q59" s="2"/>
    </row>
    <row r="60" customFormat="false" ht="15" hidden="false" customHeight="false" outlineLevel="0" collapsed="false">
      <c r="A60" s="12"/>
      <c r="B60" s="13"/>
      <c r="C60" s="13"/>
      <c r="D60" s="13"/>
      <c r="E60" s="13"/>
      <c r="F60" s="13"/>
      <c r="G60" s="14"/>
      <c r="H60" s="14"/>
      <c r="I60" s="2"/>
      <c r="J60" s="24" t="str">
        <f aca="false">"共通経費　その他経費"</f>
        <v>共通経費　その他経費</v>
      </c>
      <c r="K60" s="24"/>
      <c r="L60" s="24"/>
      <c r="M60" s="25" t="n">
        <f aca="false">SUMIF(B53:B60,"その他経費",G53:G60)</f>
        <v>0</v>
      </c>
      <c r="N60" s="2"/>
      <c r="O60" s="2"/>
      <c r="P60" s="2"/>
      <c r="Q60" s="2"/>
    </row>
    <row r="61" customFormat="false" ht="15" hidden="false" customHeight="false" outlineLevel="0" collapsed="false">
      <c r="A61" s="26" t="s">
        <v>34</v>
      </c>
      <c r="B61" s="26"/>
      <c r="C61" s="26"/>
      <c r="D61" s="26"/>
      <c r="E61" s="26"/>
      <c r="F61" s="26"/>
      <c r="G61" s="27" t="n">
        <f aca="false">SUM(G53:G60)</f>
        <v>0</v>
      </c>
      <c r="H61" s="27"/>
      <c r="I61" s="2"/>
      <c r="J61" s="28" t="s">
        <v>35</v>
      </c>
      <c r="K61" s="28"/>
      <c r="L61" s="28"/>
      <c r="M61" s="29" t="n">
        <f aca="false">M53+M54+M56+M57+G61</f>
        <v>0</v>
      </c>
      <c r="N61" s="2"/>
      <c r="O61" s="2"/>
      <c r="P61" s="2"/>
      <c r="Q61" s="2"/>
    </row>
  </sheetData>
  <mergeCells count="36">
    <mergeCell ref="A7:H7"/>
    <mergeCell ref="J7:Q7"/>
    <mergeCell ref="A49:B49"/>
    <mergeCell ref="J49:K49"/>
    <mergeCell ref="A51:H51"/>
    <mergeCell ref="J51:M51"/>
    <mergeCell ref="C52:F52"/>
    <mergeCell ref="G52:H52"/>
    <mergeCell ref="J52:L52"/>
    <mergeCell ref="C53:F53"/>
    <mergeCell ref="G53:H53"/>
    <mergeCell ref="J53:L53"/>
    <mergeCell ref="C54:F54"/>
    <mergeCell ref="G54:H54"/>
    <mergeCell ref="J54:L54"/>
    <mergeCell ref="C55:F55"/>
    <mergeCell ref="G55:H55"/>
    <mergeCell ref="J55:L55"/>
    <mergeCell ref="C56:F56"/>
    <mergeCell ref="G56:H56"/>
    <mergeCell ref="J56:L56"/>
    <mergeCell ref="C57:F57"/>
    <mergeCell ref="G57:H57"/>
    <mergeCell ref="J57:L57"/>
    <mergeCell ref="C58:F58"/>
    <mergeCell ref="G58:H58"/>
    <mergeCell ref="J58:L58"/>
    <mergeCell ref="C59:F59"/>
    <mergeCell ref="G59:H59"/>
    <mergeCell ref="J59:L59"/>
    <mergeCell ref="C60:F60"/>
    <mergeCell ref="G60:H60"/>
    <mergeCell ref="J60:L60"/>
    <mergeCell ref="A61:F61"/>
    <mergeCell ref="G61:H61"/>
    <mergeCell ref="J61:L61"/>
  </mergeCells>
  <dataValidations count="3">
    <dataValidation allowBlank="true" errorStyle="stop" operator="between" prompt="従業員が立て替えた行のみ ○ を入力してください。" promptTitle="立替" showDropDown="false" showErrorMessage="false" showInputMessage="false" sqref="E9:E48 N9:N48" type="list">
      <formula1>"○"</formula1>
      <formula2>0</formula2>
    </dataValidation>
    <dataValidation allowBlank="true" errorStyle="stop" operator="between" prompt="現金／クレジットカード等を選択してください。" promptTitle="支払方法" showDropDown="false" showErrorMessage="false" showInputMessage="false" sqref="D9:D48 M9:M48" type="list">
      <formula1>設定!$D$5:$D$10</formula1>
      <formula2>0</formula2>
    </dataValidation>
    <dataValidation allowBlank="true" errorStyle="stop" operator="between" prompt="送料／その他経費 を選択してください。" promptTitle="経費区分" showDropDown="false" showErrorMessage="false" showInputMessage="false" sqref="B53:B60" type="list">
      <formula1>設定!$F$5:$F$6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2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14"/>
    <col collapsed="false" customWidth="true" hidden="false" outlineLevel="0" max="14" min="14" style="0" width="6"/>
    <col collapsed="false" customWidth="true" hidden="false" outlineLevel="0" max="16" min="15" style="0" width="14"/>
    <col collapsed="false" customWidth="true" hidden="false" outlineLevel="0" max="17" min="17" style="0" width="12"/>
  </cols>
  <sheetData>
    <row r="1" customFormat="false" ht="19.4" hidden="false" customHeight="false" outlineLevel="0" collapsed="false">
      <c r="A1" s="1" t="s">
        <v>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4" t="str">
        <f aca="false">設定!$B$5</f>
        <v>従業員A</v>
      </c>
      <c r="B7" s="4"/>
      <c r="C7" s="4"/>
      <c r="D7" s="4"/>
      <c r="E7" s="4"/>
      <c r="F7" s="4"/>
      <c r="G7" s="4"/>
      <c r="H7" s="4"/>
      <c r="I7" s="2"/>
      <c r="J7" s="5" t="str">
        <f aca="false">設定!$B$6</f>
        <v>従業員B</v>
      </c>
      <c r="K7" s="5"/>
      <c r="L7" s="5"/>
      <c r="M7" s="5"/>
      <c r="N7" s="5"/>
      <c r="O7" s="5"/>
      <c r="P7" s="5"/>
      <c r="Q7" s="5"/>
    </row>
    <row r="8" customFormat="false" ht="31.5" hidden="false" customHeight="true" outlineLevel="0" collapsed="false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2"/>
      <c r="J8" s="7" t="s">
        <v>5</v>
      </c>
      <c r="K8" s="7" t="s">
        <v>6</v>
      </c>
      <c r="L8" s="7" t="s">
        <v>7</v>
      </c>
      <c r="M8" s="7" t="s">
        <v>8</v>
      </c>
      <c r="N8" s="7" t="s">
        <v>9</v>
      </c>
      <c r="O8" s="7" t="s">
        <v>10</v>
      </c>
      <c r="P8" s="7" t="s">
        <v>11</v>
      </c>
      <c r="Q8" s="7" t="s">
        <v>12</v>
      </c>
    </row>
    <row r="9" customFormat="false" ht="15" hidden="false" customHeight="false" outlineLevel="0" collapsed="false">
      <c r="A9" s="12"/>
      <c r="B9" s="13"/>
      <c r="C9" s="14"/>
      <c r="D9" s="13"/>
      <c r="E9" s="15"/>
      <c r="F9" s="13"/>
      <c r="G9" s="13"/>
      <c r="H9" s="14"/>
      <c r="I9" s="2"/>
      <c r="J9" s="12"/>
      <c r="K9" s="13"/>
      <c r="L9" s="14"/>
      <c r="M9" s="13"/>
      <c r="N9" s="15"/>
      <c r="O9" s="13"/>
      <c r="P9" s="13"/>
      <c r="Q9" s="14"/>
    </row>
    <row r="10" customFormat="false" ht="15" hidden="false" customHeight="false" outlineLevel="0" collapsed="false">
      <c r="A10" s="12"/>
      <c r="B10" s="13"/>
      <c r="C10" s="14"/>
      <c r="D10" s="13"/>
      <c r="E10" s="15"/>
      <c r="F10" s="13"/>
      <c r="G10" s="13"/>
      <c r="H10" s="14"/>
      <c r="I10" s="2"/>
      <c r="J10" s="12"/>
      <c r="K10" s="13"/>
      <c r="L10" s="14"/>
      <c r="M10" s="13"/>
      <c r="N10" s="15"/>
      <c r="O10" s="13"/>
      <c r="P10" s="13"/>
      <c r="Q10" s="14"/>
    </row>
    <row r="11" customFormat="false" ht="15" hidden="false" customHeight="false" outlineLevel="0" collapsed="false">
      <c r="A11" s="12"/>
      <c r="B11" s="13"/>
      <c r="C11" s="14"/>
      <c r="D11" s="13"/>
      <c r="E11" s="15"/>
      <c r="F11" s="13"/>
      <c r="G11" s="13"/>
      <c r="H11" s="14"/>
      <c r="I11" s="2"/>
      <c r="J11" s="12"/>
      <c r="K11" s="13"/>
      <c r="L11" s="14"/>
      <c r="M11" s="13"/>
      <c r="N11" s="15"/>
      <c r="O11" s="13"/>
      <c r="P11" s="13"/>
      <c r="Q11" s="14"/>
    </row>
    <row r="12" customFormat="false" ht="15" hidden="false" customHeight="false" outlineLevel="0" collapsed="false">
      <c r="A12" s="12"/>
      <c r="B12" s="13"/>
      <c r="C12" s="14"/>
      <c r="D12" s="13"/>
      <c r="E12" s="15"/>
      <c r="F12" s="13"/>
      <c r="G12" s="13"/>
      <c r="H12" s="14"/>
      <c r="I12" s="2"/>
      <c r="J12" s="12"/>
      <c r="K12" s="13"/>
      <c r="L12" s="14"/>
      <c r="M12" s="13"/>
      <c r="N12" s="15"/>
      <c r="O12" s="13"/>
      <c r="P12" s="13"/>
      <c r="Q12" s="14"/>
    </row>
    <row r="13" customFormat="false" ht="15" hidden="false" customHeight="false" outlineLevel="0" collapsed="false">
      <c r="A13" s="12"/>
      <c r="B13" s="13"/>
      <c r="C13" s="14"/>
      <c r="D13" s="13"/>
      <c r="E13" s="15"/>
      <c r="F13" s="13"/>
      <c r="G13" s="13"/>
      <c r="H13" s="14"/>
      <c r="I13" s="2"/>
      <c r="J13" s="12"/>
      <c r="K13" s="13"/>
      <c r="L13" s="14"/>
      <c r="M13" s="13"/>
      <c r="N13" s="15"/>
      <c r="O13" s="13"/>
      <c r="P13" s="13"/>
      <c r="Q13" s="14"/>
    </row>
    <row r="14" customFormat="false" ht="15" hidden="false" customHeight="false" outlineLevel="0" collapsed="false">
      <c r="A14" s="12"/>
      <c r="B14" s="13"/>
      <c r="C14" s="14"/>
      <c r="D14" s="13"/>
      <c r="E14" s="15"/>
      <c r="F14" s="13"/>
      <c r="G14" s="13"/>
      <c r="H14" s="14"/>
      <c r="I14" s="2"/>
      <c r="J14" s="12"/>
      <c r="K14" s="13"/>
      <c r="L14" s="14"/>
      <c r="M14" s="13"/>
      <c r="N14" s="15"/>
      <c r="O14" s="13"/>
      <c r="P14" s="13"/>
      <c r="Q14" s="14"/>
    </row>
    <row r="15" customFormat="false" ht="15" hidden="false" customHeight="false" outlineLevel="0" collapsed="false">
      <c r="A15" s="12"/>
      <c r="B15" s="13"/>
      <c r="C15" s="14"/>
      <c r="D15" s="13"/>
      <c r="E15" s="15"/>
      <c r="F15" s="13"/>
      <c r="G15" s="13"/>
      <c r="H15" s="14"/>
      <c r="I15" s="2"/>
      <c r="J15" s="12"/>
      <c r="K15" s="13"/>
      <c r="L15" s="14"/>
      <c r="M15" s="13"/>
      <c r="N15" s="15"/>
      <c r="O15" s="13"/>
      <c r="P15" s="13"/>
      <c r="Q15" s="14"/>
    </row>
    <row r="16" customFormat="false" ht="15" hidden="false" customHeight="false" outlineLevel="0" collapsed="false">
      <c r="A16" s="12"/>
      <c r="B16" s="13"/>
      <c r="C16" s="14"/>
      <c r="D16" s="13"/>
      <c r="E16" s="15"/>
      <c r="F16" s="13"/>
      <c r="G16" s="13"/>
      <c r="H16" s="14"/>
      <c r="I16" s="2"/>
      <c r="J16" s="12"/>
      <c r="K16" s="13"/>
      <c r="L16" s="14"/>
      <c r="M16" s="13"/>
      <c r="N16" s="15"/>
      <c r="O16" s="13"/>
      <c r="P16" s="13"/>
      <c r="Q16" s="14"/>
    </row>
    <row r="17" customFormat="false" ht="15" hidden="false" customHeight="false" outlineLevel="0" collapsed="false">
      <c r="A17" s="12"/>
      <c r="B17" s="13"/>
      <c r="C17" s="14"/>
      <c r="D17" s="13"/>
      <c r="E17" s="15"/>
      <c r="F17" s="13"/>
      <c r="G17" s="13"/>
      <c r="H17" s="14"/>
      <c r="I17" s="2"/>
      <c r="J17" s="12"/>
      <c r="K17" s="13"/>
      <c r="L17" s="14"/>
      <c r="M17" s="13"/>
      <c r="N17" s="15"/>
      <c r="O17" s="13"/>
      <c r="P17" s="13"/>
      <c r="Q17" s="14"/>
    </row>
    <row r="18" customFormat="false" ht="15" hidden="false" customHeight="false" outlineLevel="0" collapsed="false">
      <c r="A18" s="12"/>
      <c r="B18" s="13"/>
      <c r="C18" s="14"/>
      <c r="D18" s="13"/>
      <c r="E18" s="15"/>
      <c r="F18" s="13"/>
      <c r="G18" s="13"/>
      <c r="H18" s="14"/>
      <c r="I18" s="2"/>
      <c r="J18" s="12"/>
      <c r="K18" s="13"/>
      <c r="L18" s="14"/>
      <c r="M18" s="13"/>
      <c r="N18" s="15"/>
      <c r="O18" s="13"/>
      <c r="P18" s="13"/>
      <c r="Q18" s="14"/>
    </row>
    <row r="19" customFormat="false" ht="15" hidden="false" customHeight="false" outlineLevel="0" collapsed="false">
      <c r="A19" s="12"/>
      <c r="B19" s="13"/>
      <c r="C19" s="14"/>
      <c r="D19" s="13"/>
      <c r="E19" s="15"/>
      <c r="F19" s="13"/>
      <c r="G19" s="13"/>
      <c r="H19" s="14"/>
      <c r="I19" s="2"/>
      <c r="J19" s="12"/>
      <c r="K19" s="13"/>
      <c r="L19" s="14"/>
      <c r="M19" s="13"/>
      <c r="N19" s="15"/>
      <c r="O19" s="13"/>
      <c r="P19" s="13"/>
      <c r="Q19" s="14"/>
    </row>
    <row r="20" customFormat="false" ht="15" hidden="false" customHeight="false" outlineLevel="0" collapsed="false">
      <c r="A20" s="12"/>
      <c r="B20" s="13"/>
      <c r="C20" s="14"/>
      <c r="D20" s="13"/>
      <c r="E20" s="15"/>
      <c r="F20" s="13"/>
      <c r="G20" s="13"/>
      <c r="H20" s="14"/>
      <c r="I20" s="2"/>
      <c r="J20" s="12"/>
      <c r="K20" s="13"/>
      <c r="L20" s="14"/>
      <c r="M20" s="13"/>
      <c r="N20" s="15"/>
      <c r="O20" s="13"/>
      <c r="P20" s="13"/>
      <c r="Q20" s="14"/>
    </row>
    <row r="21" customFormat="false" ht="15" hidden="false" customHeight="false" outlineLevel="0" collapsed="false">
      <c r="A21" s="12"/>
      <c r="B21" s="13"/>
      <c r="C21" s="14"/>
      <c r="D21" s="13"/>
      <c r="E21" s="15"/>
      <c r="F21" s="13"/>
      <c r="G21" s="13"/>
      <c r="H21" s="14"/>
      <c r="I21" s="2"/>
      <c r="J21" s="12"/>
      <c r="K21" s="13"/>
      <c r="L21" s="14"/>
      <c r="M21" s="13"/>
      <c r="N21" s="15"/>
      <c r="O21" s="13"/>
      <c r="P21" s="13"/>
      <c r="Q21" s="14"/>
    </row>
    <row r="22" customFormat="false" ht="15" hidden="false" customHeight="false" outlineLevel="0" collapsed="false">
      <c r="A22" s="12"/>
      <c r="B22" s="13"/>
      <c r="C22" s="14"/>
      <c r="D22" s="13"/>
      <c r="E22" s="15"/>
      <c r="F22" s="13"/>
      <c r="G22" s="13"/>
      <c r="H22" s="14"/>
      <c r="I22" s="2"/>
      <c r="J22" s="12"/>
      <c r="K22" s="13"/>
      <c r="L22" s="14"/>
      <c r="M22" s="13"/>
      <c r="N22" s="15"/>
      <c r="O22" s="13"/>
      <c r="P22" s="13"/>
      <c r="Q22" s="14"/>
    </row>
    <row r="23" customFormat="false" ht="15" hidden="false" customHeight="false" outlineLevel="0" collapsed="false">
      <c r="A23" s="12"/>
      <c r="B23" s="13"/>
      <c r="C23" s="14"/>
      <c r="D23" s="13"/>
      <c r="E23" s="15"/>
      <c r="F23" s="13"/>
      <c r="G23" s="13"/>
      <c r="H23" s="14"/>
      <c r="I23" s="2"/>
      <c r="J23" s="12"/>
      <c r="K23" s="13"/>
      <c r="L23" s="14"/>
      <c r="M23" s="13"/>
      <c r="N23" s="15"/>
      <c r="O23" s="13"/>
      <c r="P23" s="13"/>
      <c r="Q23" s="14"/>
    </row>
    <row r="24" customFormat="false" ht="15" hidden="false" customHeight="false" outlineLevel="0" collapsed="false">
      <c r="A24" s="12"/>
      <c r="B24" s="13"/>
      <c r="C24" s="14"/>
      <c r="D24" s="13"/>
      <c r="E24" s="15"/>
      <c r="F24" s="13"/>
      <c r="G24" s="13"/>
      <c r="H24" s="14"/>
      <c r="I24" s="2"/>
      <c r="J24" s="12"/>
      <c r="K24" s="13"/>
      <c r="L24" s="14"/>
      <c r="M24" s="13"/>
      <c r="N24" s="15"/>
      <c r="O24" s="13"/>
      <c r="P24" s="13"/>
      <c r="Q24" s="14"/>
    </row>
    <row r="25" customFormat="false" ht="15" hidden="false" customHeight="false" outlineLevel="0" collapsed="false">
      <c r="A25" s="12"/>
      <c r="B25" s="13"/>
      <c r="C25" s="14"/>
      <c r="D25" s="13"/>
      <c r="E25" s="15"/>
      <c r="F25" s="13"/>
      <c r="G25" s="13"/>
      <c r="H25" s="14"/>
      <c r="I25" s="2"/>
      <c r="J25" s="12"/>
      <c r="K25" s="13"/>
      <c r="L25" s="14"/>
      <c r="M25" s="13"/>
      <c r="N25" s="15"/>
      <c r="O25" s="13"/>
      <c r="P25" s="13"/>
      <c r="Q25" s="14"/>
    </row>
    <row r="26" customFormat="false" ht="15" hidden="false" customHeight="false" outlineLevel="0" collapsed="false">
      <c r="A26" s="12"/>
      <c r="B26" s="13"/>
      <c r="C26" s="14"/>
      <c r="D26" s="13"/>
      <c r="E26" s="15"/>
      <c r="F26" s="13"/>
      <c r="G26" s="13"/>
      <c r="H26" s="14"/>
      <c r="I26" s="2"/>
      <c r="J26" s="12"/>
      <c r="K26" s="13"/>
      <c r="L26" s="14"/>
      <c r="M26" s="13"/>
      <c r="N26" s="15"/>
      <c r="O26" s="13"/>
      <c r="P26" s="13"/>
      <c r="Q26" s="14"/>
    </row>
    <row r="27" customFormat="false" ht="15" hidden="false" customHeight="false" outlineLevel="0" collapsed="false">
      <c r="A27" s="12"/>
      <c r="B27" s="13"/>
      <c r="C27" s="14"/>
      <c r="D27" s="13"/>
      <c r="E27" s="15"/>
      <c r="F27" s="13"/>
      <c r="G27" s="13"/>
      <c r="H27" s="14"/>
      <c r="I27" s="2"/>
      <c r="J27" s="12"/>
      <c r="K27" s="13"/>
      <c r="L27" s="14"/>
      <c r="M27" s="13"/>
      <c r="N27" s="15"/>
      <c r="O27" s="13"/>
      <c r="P27" s="13"/>
      <c r="Q27" s="14"/>
    </row>
    <row r="28" customFormat="false" ht="15" hidden="false" customHeight="false" outlineLevel="0" collapsed="false">
      <c r="A28" s="12"/>
      <c r="B28" s="13"/>
      <c r="C28" s="14"/>
      <c r="D28" s="13"/>
      <c r="E28" s="15"/>
      <c r="F28" s="13"/>
      <c r="G28" s="13"/>
      <c r="H28" s="14"/>
      <c r="I28" s="2"/>
      <c r="J28" s="12"/>
      <c r="K28" s="13"/>
      <c r="L28" s="14"/>
      <c r="M28" s="13"/>
      <c r="N28" s="15"/>
      <c r="O28" s="13"/>
      <c r="P28" s="13"/>
      <c r="Q28" s="14"/>
    </row>
    <row r="29" customFormat="false" ht="15" hidden="false" customHeight="false" outlineLevel="0" collapsed="false">
      <c r="A29" s="12"/>
      <c r="B29" s="13"/>
      <c r="C29" s="14"/>
      <c r="D29" s="13"/>
      <c r="E29" s="15"/>
      <c r="F29" s="13"/>
      <c r="G29" s="13"/>
      <c r="H29" s="14"/>
      <c r="I29" s="2"/>
      <c r="J29" s="12"/>
      <c r="K29" s="13"/>
      <c r="L29" s="14"/>
      <c r="M29" s="13"/>
      <c r="N29" s="15"/>
      <c r="O29" s="13"/>
      <c r="P29" s="13"/>
      <c r="Q29" s="14"/>
    </row>
    <row r="30" customFormat="false" ht="15" hidden="false" customHeight="false" outlineLevel="0" collapsed="false">
      <c r="A30" s="12"/>
      <c r="B30" s="13"/>
      <c r="C30" s="14"/>
      <c r="D30" s="13"/>
      <c r="E30" s="15"/>
      <c r="F30" s="13"/>
      <c r="G30" s="13"/>
      <c r="H30" s="14"/>
      <c r="I30" s="2"/>
      <c r="J30" s="12"/>
      <c r="K30" s="13"/>
      <c r="L30" s="14"/>
      <c r="M30" s="13"/>
      <c r="N30" s="15"/>
      <c r="O30" s="13"/>
      <c r="P30" s="13"/>
      <c r="Q30" s="14"/>
    </row>
    <row r="31" customFormat="false" ht="15" hidden="false" customHeight="false" outlineLevel="0" collapsed="false">
      <c r="A31" s="12"/>
      <c r="B31" s="13"/>
      <c r="C31" s="14"/>
      <c r="D31" s="13"/>
      <c r="E31" s="15"/>
      <c r="F31" s="13"/>
      <c r="G31" s="13"/>
      <c r="H31" s="14"/>
      <c r="I31" s="2"/>
      <c r="J31" s="12"/>
      <c r="K31" s="13"/>
      <c r="L31" s="14"/>
      <c r="M31" s="13"/>
      <c r="N31" s="15"/>
      <c r="O31" s="13"/>
      <c r="P31" s="13"/>
      <c r="Q31" s="14"/>
    </row>
    <row r="32" customFormat="false" ht="15" hidden="false" customHeight="false" outlineLevel="0" collapsed="false">
      <c r="A32" s="12"/>
      <c r="B32" s="13"/>
      <c r="C32" s="14"/>
      <c r="D32" s="13"/>
      <c r="E32" s="15"/>
      <c r="F32" s="13"/>
      <c r="G32" s="13"/>
      <c r="H32" s="14"/>
      <c r="I32" s="2"/>
      <c r="J32" s="12"/>
      <c r="K32" s="13"/>
      <c r="L32" s="14"/>
      <c r="M32" s="13"/>
      <c r="N32" s="15"/>
      <c r="O32" s="13"/>
      <c r="P32" s="13"/>
      <c r="Q32" s="14"/>
    </row>
    <row r="33" customFormat="false" ht="15" hidden="false" customHeight="false" outlineLevel="0" collapsed="false">
      <c r="A33" s="12"/>
      <c r="B33" s="13"/>
      <c r="C33" s="14"/>
      <c r="D33" s="13"/>
      <c r="E33" s="15"/>
      <c r="F33" s="13"/>
      <c r="G33" s="13"/>
      <c r="H33" s="14"/>
      <c r="I33" s="2"/>
      <c r="J33" s="12"/>
      <c r="K33" s="13"/>
      <c r="L33" s="14"/>
      <c r="M33" s="13"/>
      <c r="N33" s="15"/>
      <c r="O33" s="13"/>
      <c r="P33" s="13"/>
      <c r="Q33" s="14"/>
    </row>
    <row r="34" customFormat="false" ht="15" hidden="false" customHeight="false" outlineLevel="0" collapsed="false">
      <c r="A34" s="12"/>
      <c r="B34" s="13"/>
      <c r="C34" s="14"/>
      <c r="D34" s="13"/>
      <c r="E34" s="15"/>
      <c r="F34" s="13"/>
      <c r="G34" s="13"/>
      <c r="H34" s="14"/>
      <c r="I34" s="2"/>
      <c r="J34" s="12"/>
      <c r="K34" s="13"/>
      <c r="L34" s="14"/>
      <c r="M34" s="13"/>
      <c r="N34" s="15"/>
      <c r="O34" s="13"/>
      <c r="P34" s="13"/>
      <c r="Q34" s="14"/>
    </row>
    <row r="35" customFormat="false" ht="15" hidden="false" customHeight="false" outlineLevel="0" collapsed="false">
      <c r="A35" s="12"/>
      <c r="B35" s="13"/>
      <c r="C35" s="14"/>
      <c r="D35" s="13"/>
      <c r="E35" s="15"/>
      <c r="F35" s="13"/>
      <c r="G35" s="13"/>
      <c r="H35" s="14"/>
      <c r="I35" s="2"/>
      <c r="J35" s="12"/>
      <c r="K35" s="13"/>
      <c r="L35" s="14"/>
      <c r="M35" s="13"/>
      <c r="N35" s="15"/>
      <c r="O35" s="13"/>
      <c r="P35" s="13"/>
      <c r="Q35" s="14"/>
    </row>
    <row r="36" customFormat="false" ht="15" hidden="false" customHeight="false" outlineLevel="0" collapsed="false">
      <c r="A36" s="12"/>
      <c r="B36" s="13"/>
      <c r="C36" s="14"/>
      <c r="D36" s="13"/>
      <c r="E36" s="15"/>
      <c r="F36" s="13"/>
      <c r="G36" s="13"/>
      <c r="H36" s="14"/>
      <c r="I36" s="2"/>
      <c r="J36" s="12"/>
      <c r="K36" s="13"/>
      <c r="L36" s="14"/>
      <c r="M36" s="13"/>
      <c r="N36" s="15"/>
      <c r="O36" s="13"/>
      <c r="P36" s="13"/>
      <c r="Q36" s="14"/>
    </row>
    <row r="37" customFormat="false" ht="15" hidden="false" customHeight="false" outlineLevel="0" collapsed="false">
      <c r="A37" s="12"/>
      <c r="B37" s="13"/>
      <c r="C37" s="14"/>
      <c r="D37" s="13"/>
      <c r="E37" s="15"/>
      <c r="F37" s="13"/>
      <c r="G37" s="13"/>
      <c r="H37" s="14"/>
      <c r="I37" s="2"/>
      <c r="J37" s="12"/>
      <c r="K37" s="13"/>
      <c r="L37" s="14"/>
      <c r="M37" s="13"/>
      <c r="N37" s="15"/>
      <c r="O37" s="13"/>
      <c r="P37" s="13"/>
      <c r="Q37" s="14"/>
    </row>
    <row r="38" customFormat="false" ht="15" hidden="false" customHeight="false" outlineLevel="0" collapsed="false">
      <c r="A38" s="12"/>
      <c r="B38" s="13"/>
      <c r="C38" s="14"/>
      <c r="D38" s="13"/>
      <c r="E38" s="15"/>
      <c r="F38" s="13"/>
      <c r="G38" s="13"/>
      <c r="H38" s="14"/>
      <c r="I38" s="2"/>
      <c r="J38" s="12"/>
      <c r="K38" s="13"/>
      <c r="L38" s="14"/>
      <c r="M38" s="13"/>
      <c r="N38" s="15"/>
      <c r="O38" s="13"/>
      <c r="P38" s="13"/>
      <c r="Q38" s="14"/>
    </row>
    <row r="39" customFormat="false" ht="15" hidden="false" customHeight="false" outlineLevel="0" collapsed="false">
      <c r="A39" s="12"/>
      <c r="B39" s="13"/>
      <c r="C39" s="14"/>
      <c r="D39" s="13"/>
      <c r="E39" s="15"/>
      <c r="F39" s="13"/>
      <c r="G39" s="13"/>
      <c r="H39" s="14"/>
      <c r="I39" s="2"/>
      <c r="J39" s="12"/>
      <c r="K39" s="13"/>
      <c r="L39" s="14"/>
      <c r="M39" s="13"/>
      <c r="N39" s="15"/>
      <c r="O39" s="13"/>
      <c r="P39" s="13"/>
      <c r="Q39" s="14"/>
    </row>
    <row r="40" customFormat="false" ht="15" hidden="false" customHeight="false" outlineLevel="0" collapsed="false">
      <c r="A40" s="12"/>
      <c r="B40" s="13"/>
      <c r="C40" s="14"/>
      <c r="D40" s="13"/>
      <c r="E40" s="15"/>
      <c r="F40" s="13"/>
      <c r="G40" s="13"/>
      <c r="H40" s="14"/>
      <c r="I40" s="2"/>
      <c r="J40" s="12"/>
      <c r="K40" s="13"/>
      <c r="L40" s="14"/>
      <c r="M40" s="13"/>
      <c r="N40" s="15"/>
      <c r="O40" s="13"/>
      <c r="P40" s="13"/>
      <c r="Q40" s="14"/>
    </row>
    <row r="41" customFormat="false" ht="15" hidden="false" customHeight="false" outlineLevel="0" collapsed="false">
      <c r="A41" s="12"/>
      <c r="B41" s="13"/>
      <c r="C41" s="14"/>
      <c r="D41" s="13"/>
      <c r="E41" s="15"/>
      <c r="F41" s="13"/>
      <c r="G41" s="13"/>
      <c r="H41" s="14"/>
      <c r="I41" s="2"/>
      <c r="J41" s="12"/>
      <c r="K41" s="13"/>
      <c r="L41" s="14"/>
      <c r="M41" s="13"/>
      <c r="N41" s="15"/>
      <c r="O41" s="13"/>
      <c r="P41" s="13"/>
      <c r="Q41" s="14"/>
    </row>
    <row r="42" customFormat="false" ht="15" hidden="false" customHeight="false" outlineLevel="0" collapsed="false">
      <c r="A42" s="12"/>
      <c r="B42" s="13"/>
      <c r="C42" s="14"/>
      <c r="D42" s="13"/>
      <c r="E42" s="15"/>
      <c r="F42" s="13"/>
      <c r="G42" s="13"/>
      <c r="H42" s="14"/>
      <c r="I42" s="2"/>
      <c r="J42" s="12"/>
      <c r="K42" s="13"/>
      <c r="L42" s="14"/>
      <c r="M42" s="13"/>
      <c r="N42" s="15"/>
      <c r="O42" s="13"/>
      <c r="P42" s="13"/>
      <c r="Q42" s="14"/>
    </row>
    <row r="43" customFormat="false" ht="15" hidden="false" customHeight="false" outlineLevel="0" collapsed="false">
      <c r="A43" s="12"/>
      <c r="B43" s="13"/>
      <c r="C43" s="14"/>
      <c r="D43" s="13"/>
      <c r="E43" s="15"/>
      <c r="F43" s="13"/>
      <c r="G43" s="13"/>
      <c r="H43" s="14"/>
      <c r="I43" s="2"/>
      <c r="J43" s="12"/>
      <c r="K43" s="13"/>
      <c r="L43" s="14"/>
      <c r="M43" s="13"/>
      <c r="N43" s="15"/>
      <c r="O43" s="13"/>
      <c r="P43" s="13"/>
      <c r="Q43" s="14"/>
    </row>
    <row r="44" customFormat="false" ht="15" hidden="false" customHeight="false" outlineLevel="0" collapsed="false">
      <c r="A44" s="12"/>
      <c r="B44" s="13"/>
      <c r="C44" s="14"/>
      <c r="D44" s="13"/>
      <c r="E44" s="15"/>
      <c r="F44" s="13"/>
      <c r="G44" s="13"/>
      <c r="H44" s="14"/>
      <c r="I44" s="2"/>
      <c r="J44" s="12"/>
      <c r="K44" s="13"/>
      <c r="L44" s="14"/>
      <c r="M44" s="13"/>
      <c r="N44" s="15"/>
      <c r="O44" s="13"/>
      <c r="P44" s="13"/>
      <c r="Q44" s="14"/>
    </row>
    <row r="45" customFormat="false" ht="15" hidden="false" customHeight="false" outlineLevel="0" collapsed="false">
      <c r="A45" s="12"/>
      <c r="B45" s="13"/>
      <c r="C45" s="14"/>
      <c r="D45" s="13"/>
      <c r="E45" s="15"/>
      <c r="F45" s="13"/>
      <c r="G45" s="13"/>
      <c r="H45" s="14"/>
      <c r="I45" s="2"/>
      <c r="J45" s="12"/>
      <c r="K45" s="13"/>
      <c r="L45" s="14"/>
      <c r="M45" s="13"/>
      <c r="N45" s="15"/>
      <c r="O45" s="13"/>
      <c r="P45" s="13"/>
      <c r="Q45" s="14"/>
    </row>
    <row r="46" customFormat="false" ht="15" hidden="false" customHeight="false" outlineLevel="0" collapsed="false">
      <c r="A46" s="12"/>
      <c r="B46" s="13"/>
      <c r="C46" s="14"/>
      <c r="D46" s="13"/>
      <c r="E46" s="15"/>
      <c r="F46" s="13"/>
      <c r="G46" s="13"/>
      <c r="H46" s="14"/>
      <c r="I46" s="2"/>
      <c r="J46" s="12"/>
      <c r="K46" s="13"/>
      <c r="L46" s="14"/>
      <c r="M46" s="13"/>
      <c r="N46" s="15"/>
      <c r="O46" s="13"/>
      <c r="P46" s="13"/>
      <c r="Q46" s="14"/>
    </row>
    <row r="47" customFormat="false" ht="15" hidden="false" customHeight="false" outlineLevel="0" collapsed="false">
      <c r="A47" s="12"/>
      <c r="B47" s="13"/>
      <c r="C47" s="14"/>
      <c r="D47" s="13"/>
      <c r="E47" s="15"/>
      <c r="F47" s="13"/>
      <c r="G47" s="13"/>
      <c r="H47" s="14"/>
      <c r="I47" s="2"/>
      <c r="J47" s="12"/>
      <c r="K47" s="13"/>
      <c r="L47" s="14"/>
      <c r="M47" s="13"/>
      <c r="N47" s="15"/>
      <c r="O47" s="13"/>
      <c r="P47" s="13"/>
      <c r="Q47" s="14"/>
    </row>
    <row r="48" customFormat="false" ht="15" hidden="false" customHeight="false" outlineLevel="0" collapsed="false">
      <c r="A48" s="12"/>
      <c r="B48" s="13"/>
      <c r="C48" s="14"/>
      <c r="D48" s="13"/>
      <c r="E48" s="15"/>
      <c r="F48" s="13"/>
      <c r="G48" s="13"/>
      <c r="H48" s="14"/>
      <c r="I48" s="2"/>
      <c r="J48" s="12"/>
      <c r="K48" s="13"/>
      <c r="L48" s="14"/>
      <c r="M48" s="13"/>
      <c r="N48" s="15"/>
      <c r="O48" s="13"/>
      <c r="P48" s="13"/>
      <c r="Q48" s="14"/>
    </row>
    <row r="49" customFormat="false" ht="15" hidden="false" customHeight="false" outlineLevel="0" collapsed="false">
      <c r="A49" s="16" t="s">
        <v>22</v>
      </c>
      <c r="B49" s="16"/>
      <c r="C49" s="17" t="n">
        <f aca="false">SUM(C9:C48)</f>
        <v>0</v>
      </c>
      <c r="D49" s="18"/>
      <c r="E49" s="18"/>
      <c r="F49" s="18"/>
      <c r="G49" s="18"/>
      <c r="H49" s="17" t="n">
        <f aca="false">SUM(H9:H48)</f>
        <v>0</v>
      </c>
      <c r="I49" s="2"/>
      <c r="J49" s="19" t="s">
        <v>22</v>
      </c>
      <c r="K49" s="19"/>
      <c r="L49" s="20" t="n">
        <f aca="false">SUM(L9:L48)</f>
        <v>0</v>
      </c>
      <c r="M49" s="21"/>
      <c r="N49" s="21"/>
      <c r="O49" s="21"/>
      <c r="P49" s="21"/>
      <c r="Q49" s="20" t="n">
        <f aca="false">SUM(Q9:Q48)</f>
        <v>0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customFormat="false" ht="15" hidden="false" customHeight="false" outlineLevel="0" collapsed="false">
      <c r="A51" s="22" t="s">
        <v>24</v>
      </c>
      <c r="B51" s="22"/>
      <c r="C51" s="22"/>
      <c r="D51" s="22"/>
      <c r="E51" s="22"/>
      <c r="F51" s="22"/>
      <c r="G51" s="22"/>
      <c r="H51" s="22"/>
      <c r="I51" s="2"/>
      <c r="J51" s="23" t="s">
        <v>25</v>
      </c>
      <c r="K51" s="23"/>
      <c r="L51" s="23"/>
      <c r="M51" s="23"/>
      <c r="N51" s="2"/>
      <c r="O51" s="2"/>
      <c r="P51" s="2"/>
      <c r="Q51" s="2"/>
    </row>
    <row r="52" customFormat="false" ht="15" hidden="false" customHeight="false" outlineLevel="0" collapsed="false">
      <c r="A52" s="22" t="s">
        <v>5</v>
      </c>
      <c r="B52" s="22" t="s">
        <v>26</v>
      </c>
      <c r="C52" s="22" t="s">
        <v>27</v>
      </c>
      <c r="D52" s="22"/>
      <c r="E52" s="22"/>
      <c r="F52" s="22"/>
      <c r="G52" s="22" t="s">
        <v>28</v>
      </c>
      <c r="H52" s="22"/>
      <c r="I52" s="2"/>
      <c r="J52" s="23" t="s">
        <v>29</v>
      </c>
      <c r="K52" s="23"/>
      <c r="L52" s="23"/>
      <c r="M52" s="23" t="s">
        <v>28</v>
      </c>
      <c r="N52" s="2"/>
      <c r="O52" s="2"/>
      <c r="P52" s="2"/>
      <c r="Q52" s="2"/>
    </row>
    <row r="53" customFormat="false" ht="15" hidden="false" customHeight="false" outlineLevel="0" collapsed="false">
      <c r="A53" s="12"/>
      <c r="B53" s="13"/>
      <c r="C53" s="13"/>
      <c r="D53" s="13"/>
      <c r="E53" s="13"/>
      <c r="F53" s="13"/>
      <c r="G53" s="14"/>
      <c r="H53" s="14"/>
      <c r="I53" s="2"/>
      <c r="J53" s="24" t="str">
        <f aca="false">設定!$B$5&amp;" 仕入れ合計"</f>
        <v>従業員A 仕入れ合計</v>
      </c>
      <c r="K53" s="24"/>
      <c r="L53" s="24"/>
      <c r="M53" s="25" t="n">
        <f aca="false">C49</f>
        <v>0</v>
      </c>
      <c r="N53" s="2"/>
      <c r="O53" s="2"/>
      <c r="P53" s="2"/>
      <c r="Q53" s="2"/>
    </row>
    <row r="54" customFormat="false" ht="15" hidden="false" customHeight="false" outlineLevel="0" collapsed="false">
      <c r="A54" s="12"/>
      <c r="B54" s="13"/>
      <c r="C54" s="13"/>
      <c r="D54" s="13"/>
      <c r="E54" s="13"/>
      <c r="F54" s="13"/>
      <c r="G54" s="14"/>
      <c r="H54" s="14"/>
      <c r="I54" s="2"/>
      <c r="J54" s="24" t="str">
        <f aca="false">設定!$B$5&amp;" 交通費合計"</f>
        <v>従業員A 交通費合計</v>
      </c>
      <c r="K54" s="24"/>
      <c r="L54" s="24"/>
      <c r="M54" s="25" t="n">
        <f aca="false">H49</f>
        <v>0</v>
      </c>
      <c r="N54" s="2"/>
      <c r="O54" s="2"/>
      <c r="P54" s="2"/>
      <c r="Q54" s="2"/>
    </row>
    <row r="55" customFormat="false" ht="15" hidden="false" customHeight="false" outlineLevel="0" collapsed="false">
      <c r="A55" s="12"/>
      <c r="B55" s="13"/>
      <c r="C55" s="13"/>
      <c r="D55" s="13"/>
      <c r="E55" s="13"/>
      <c r="F55" s="13"/>
      <c r="G55" s="14"/>
      <c r="H55" s="14"/>
      <c r="I55" s="2"/>
      <c r="J55" s="24" t="str">
        <f aca="false">設定!$B$5&amp;" 立替精算額（返金額）"</f>
        <v>従業員A 立替精算額（返金額）</v>
      </c>
      <c r="K55" s="24"/>
      <c r="L55" s="24"/>
      <c r="M55" s="25" t="n">
        <f aca="false">SUMIF(E9:E48,"○",C9:C48)+SUMIF(E9:E48,"○",H9:H48)</f>
        <v>0</v>
      </c>
      <c r="N55" s="2"/>
      <c r="O55" s="2"/>
      <c r="P55" s="2"/>
      <c r="Q55" s="2"/>
    </row>
    <row r="56" customFormat="false" ht="15" hidden="false" customHeight="false" outlineLevel="0" collapsed="false">
      <c r="A56" s="12"/>
      <c r="B56" s="13"/>
      <c r="C56" s="13"/>
      <c r="D56" s="13"/>
      <c r="E56" s="13"/>
      <c r="F56" s="13"/>
      <c r="G56" s="14"/>
      <c r="H56" s="14"/>
      <c r="I56" s="2"/>
      <c r="J56" s="24" t="str">
        <f aca="false">設定!$B$6&amp;" 仕入れ合計"</f>
        <v>従業員B 仕入れ合計</v>
      </c>
      <c r="K56" s="24"/>
      <c r="L56" s="24"/>
      <c r="M56" s="25" t="n">
        <f aca="false">L49</f>
        <v>0</v>
      </c>
      <c r="N56" s="2"/>
      <c r="O56" s="2"/>
      <c r="P56" s="2"/>
      <c r="Q56" s="2"/>
    </row>
    <row r="57" customFormat="false" ht="15" hidden="false" customHeight="false" outlineLevel="0" collapsed="false">
      <c r="A57" s="12"/>
      <c r="B57" s="13"/>
      <c r="C57" s="13"/>
      <c r="D57" s="13"/>
      <c r="E57" s="13"/>
      <c r="F57" s="13"/>
      <c r="G57" s="14"/>
      <c r="H57" s="14"/>
      <c r="I57" s="2"/>
      <c r="J57" s="24" t="str">
        <f aca="false">設定!$B$6&amp;" 交通費合計"</f>
        <v>従業員B 交通費合計</v>
      </c>
      <c r="K57" s="24"/>
      <c r="L57" s="24"/>
      <c r="M57" s="25" t="n">
        <f aca="false">Q49</f>
        <v>0</v>
      </c>
      <c r="N57" s="2"/>
      <c r="O57" s="2"/>
      <c r="P57" s="2"/>
      <c r="Q57" s="2"/>
    </row>
    <row r="58" customFormat="false" ht="15" hidden="false" customHeight="false" outlineLevel="0" collapsed="false">
      <c r="A58" s="12"/>
      <c r="B58" s="13"/>
      <c r="C58" s="13"/>
      <c r="D58" s="13"/>
      <c r="E58" s="13"/>
      <c r="F58" s="13"/>
      <c r="G58" s="14"/>
      <c r="H58" s="14"/>
      <c r="I58" s="2"/>
      <c r="J58" s="24" t="str">
        <f aca="false">設定!$B$6&amp;" 立替精算額（返金額）"</f>
        <v>従業員B 立替精算額（返金額）</v>
      </c>
      <c r="K58" s="24"/>
      <c r="L58" s="24"/>
      <c r="M58" s="25" t="n">
        <f aca="false">SUMIF(N9:N48,"○",L9:L48)+SUMIF(N9:N48,"○",Q9:Q48)</f>
        <v>0</v>
      </c>
      <c r="N58" s="2"/>
      <c r="O58" s="2"/>
      <c r="P58" s="2"/>
      <c r="Q58" s="2"/>
    </row>
    <row r="59" customFormat="false" ht="15" hidden="false" customHeight="false" outlineLevel="0" collapsed="false">
      <c r="A59" s="12"/>
      <c r="B59" s="13"/>
      <c r="C59" s="13"/>
      <c r="D59" s="13"/>
      <c r="E59" s="13"/>
      <c r="F59" s="13"/>
      <c r="G59" s="14"/>
      <c r="H59" s="14"/>
      <c r="I59" s="2"/>
      <c r="J59" s="24" t="str">
        <f aca="false">"共通経費　送料"</f>
        <v>共通経費　送料</v>
      </c>
      <c r="K59" s="24"/>
      <c r="L59" s="24"/>
      <c r="M59" s="25" t="n">
        <f aca="false">SUMIF(B53:B60,"送料",G53:G60)</f>
        <v>0</v>
      </c>
      <c r="N59" s="2"/>
      <c r="O59" s="2"/>
      <c r="P59" s="2"/>
      <c r="Q59" s="2"/>
    </row>
    <row r="60" customFormat="false" ht="15" hidden="false" customHeight="false" outlineLevel="0" collapsed="false">
      <c r="A60" s="12"/>
      <c r="B60" s="13"/>
      <c r="C60" s="13"/>
      <c r="D60" s="13"/>
      <c r="E60" s="13"/>
      <c r="F60" s="13"/>
      <c r="G60" s="14"/>
      <c r="H60" s="14"/>
      <c r="I60" s="2"/>
      <c r="J60" s="24" t="str">
        <f aca="false">"共通経費　その他経費"</f>
        <v>共通経費　その他経費</v>
      </c>
      <c r="K60" s="24"/>
      <c r="L60" s="24"/>
      <c r="M60" s="25" t="n">
        <f aca="false">SUMIF(B53:B60,"その他経費",G53:G60)</f>
        <v>0</v>
      </c>
      <c r="N60" s="2"/>
      <c r="O60" s="2"/>
      <c r="P60" s="2"/>
      <c r="Q60" s="2"/>
    </row>
    <row r="61" customFormat="false" ht="15" hidden="false" customHeight="false" outlineLevel="0" collapsed="false">
      <c r="A61" s="26" t="s">
        <v>34</v>
      </c>
      <c r="B61" s="26"/>
      <c r="C61" s="26"/>
      <c r="D61" s="26"/>
      <c r="E61" s="26"/>
      <c r="F61" s="26"/>
      <c r="G61" s="27" t="n">
        <f aca="false">SUM(G53:G60)</f>
        <v>0</v>
      </c>
      <c r="H61" s="27"/>
      <c r="I61" s="2"/>
      <c r="J61" s="28" t="s">
        <v>35</v>
      </c>
      <c r="K61" s="28"/>
      <c r="L61" s="28"/>
      <c r="M61" s="29" t="n">
        <f aca="false">M53+M54+M56+M57+G61</f>
        <v>0</v>
      </c>
      <c r="N61" s="2"/>
      <c r="O61" s="2"/>
      <c r="P61" s="2"/>
      <c r="Q61" s="2"/>
    </row>
  </sheetData>
  <mergeCells count="36">
    <mergeCell ref="A7:H7"/>
    <mergeCell ref="J7:Q7"/>
    <mergeCell ref="A49:B49"/>
    <mergeCell ref="J49:K49"/>
    <mergeCell ref="A51:H51"/>
    <mergeCell ref="J51:M51"/>
    <mergeCell ref="C52:F52"/>
    <mergeCell ref="G52:H52"/>
    <mergeCell ref="J52:L52"/>
    <mergeCell ref="C53:F53"/>
    <mergeCell ref="G53:H53"/>
    <mergeCell ref="J53:L53"/>
    <mergeCell ref="C54:F54"/>
    <mergeCell ref="G54:H54"/>
    <mergeCell ref="J54:L54"/>
    <mergeCell ref="C55:F55"/>
    <mergeCell ref="G55:H55"/>
    <mergeCell ref="J55:L55"/>
    <mergeCell ref="C56:F56"/>
    <mergeCell ref="G56:H56"/>
    <mergeCell ref="J56:L56"/>
    <mergeCell ref="C57:F57"/>
    <mergeCell ref="G57:H57"/>
    <mergeCell ref="J57:L57"/>
    <mergeCell ref="C58:F58"/>
    <mergeCell ref="G58:H58"/>
    <mergeCell ref="J58:L58"/>
    <mergeCell ref="C59:F59"/>
    <mergeCell ref="G59:H59"/>
    <mergeCell ref="J59:L59"/>
    <mergeCell ref="C60:F60"/>
    <mergeCell ref="G60:H60"/>
    <mergeCell ref="J60:L60"/>
    <mergeCell ref="A61:F61"/>
    <mergeCell ref="G61:H61"/>
    <mergeCell ref="J61:L61"/>
  </mergeCells>
  <dataValidations count="3">
    <dataValidation allowBlank="true" errorStyle="stop" operator="between" prompt="従業員が立て替えた行のみ ○ を入力してください。" promptTitle="立替" showDropDown="false" showErrorMessage="false" showInputMessage="false" sqref="E9:E48 N9:N48" type="list">
      <formula1>"○"</formula1>
      <formula2>0</formula2>
    </dataValidation>
    <dataValidation allowBlank="true" errorStyle="stop" operator="between" prompt="現金／クレジットカード等を選択してください。" promptTitle="支払方法" showDropDown="false" showErrorMessage="false" showInputMessage="false" sqref="D9:D48 M9:M48" type="list">
      <formula1>設定!$D$5:$D$10</formula1>
      <formula2>0</formula2>
    </dataValidation>
    <dataValidation allowBlank="true" errorStyle="stop" operator="between" prompt="送料／その他経費 を選択してください。" promptTitle="経費区分" showDropDown="false" showErrorMessage="false" showInputMessage="false" sqref="B53:B60" type="list">
      <formula1>設定!$F$5:$F$6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2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14"/>
    <col collapsed="false" customWidth="true" hidden="false" outlineLevel="0" max="14" min="14" style="0" width="6"/>
    <col collapsed="false" customWidth="true" hidden="false" outlineLevel="0" max="16" min="15" style="0" width="14"/>
    <col collapsed="false" customWidth="true" hidden="false" outlineLevel="0" max="17" min="17" style="0" width="12"/>
  </cols>
  <sheetData>
    <row r="1" customFormat="false" ht="19.4" hidden="false" customHeight="false" outlineLevel="0" collapsed="false">
      <c r="A1" s="1" t="s">
        <v>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4" t="str">
        <f aca="false">設定!$B$5</f>
        <v>従業員A</v>
      </c>
      <c r="B7" s="4"/>
      <c r="C7" s="4"/>
      <c r="D7" s="4"/>
      <c r="E7" s="4"/>
      <c r="F7" s="4"/>
      <c r="G7" s="4"/>
      <c r="H7" s="4"/>
      <c r="I7" s="2"/>
      <c r="J7" s="5" t="str">
        <f aca="false">設定!$B$6</f>
        <v>従業員B</v>
      </c>
      <c r="K7" s="5"/>
      <c r="L7" s="5"/>
      <c r="M7" s="5"/>
      <c r="N7" s="5"/>
      <c r="O7" s="5"/>
      <c r="P7" s="5"/>
      <c r="Q7" s="5"/>
    </row>
    <row r="8" customFormat="false" ht="31.5" hidden="false" customHeight="true" outlineLevel="0" collapsed="false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2"/>
      <c r="J8" s="7" t="s">
        <v>5</v>
      </c>
      <c r="K8" s="7" t="s">
        <v>6</v>
      </c>
      <c r="L8" s="7" t="s">
        <v>7</v>
      </c>
      <c r="M8" s="7" t="s">
        <v>8</v>
      </c>
      <c r="N8" s="7" t="s">
        <v>9</v>
      </c>
      <c r="O8" s="7" t="s">
        <v>10</v>
      </c>
      <c r="P8" s="7" t="s">
        <v>11</v>
      </c>
      <c r="Q8" s="7" t="s">
        <v>12</v>
      </c>
    </row>
    <row r="9" customFormat="false" ht="15" hidden="false" customHeight="false" outlineLevel="0" collapsed="false">
      <c r="A9" s="12"/>
      <c r="B9" s="13"/>
      <c r="C9" s="14"/>
      <c r="D9" s="13"/>
      <c r="E9" s="15"/>
      <c r="F9" s="13"/>
      <c r="G9" s="13"/>
      <c r="H9" s="14"/>
      <c r="I9" s="2"/>
      <c r="J9" s="12"/>
      <c r="K9" s="13"/>
      <c r="L9" s="14"/>
      <c r="M9" s="13"/>
      <c r="N9" s="15"/>
      <c r="O9" s="13"/>
      <c r="P9" s="13"/>
      <c r="Q9" s="14"/>
    </row>
    <row r="10" customFormat="false" ht="15" hidden="false" customHeight="false" outlineLevel="0" collapsed="false">
      <c r="A10" s="12"/>
      <c r="B10" s="13"/>
      <c r="C10" s="14"/>
      <c r="D10" s="13"/>
      <c r="E10" s="15"/>
      <c r="F10" s="13"/>
      <c r="G10" s="13"/>
      <c r="H10" s="14"/>
      <c r="I10" s="2"/>
      <c r="J10" s="12"/>
      <c r="K10" s="13"/>
      <c r="L10" s="14"/>
      <c r="M10" s="13"/>
      <c r="N10" s="15"/>
      <c r="O10" s="13"/>
      <c r="P10" s="13"/>
      <c r="Q10" s="14"/>
    </row>
    <row r="11" customFormat="false" ht="15" hidden="false" customHeight="false" outlineLevel="0" collapsed="false">
      <c r="A11" s="12"/>
      <c r="B11" s="13"/>
      <c r="C11" s="14"/>
      <c r="D11" s="13"/>
      <c r="E11" s="15"/>
      <c r="F11" s="13"/>
      <c r="G11" s="13"/>
      <c r="H11" s="14"/>
      <c r="I11" s="2"/>
      <c r="J11" s="12"/>
      <c r="K11" s="13"/>
      <c r="L11" s="14"/>
      <c r="M11" s="13"/>
      <c r="N11" s="15"/>
      <c r="O11" s="13"/>
      <c r="P11" s="13"/>
      <c r="Q11" s="14"/>
    </row>
    <row r="12" customFormat="false" ht="15" hidden="false" customHeight="false" outlineLevel="0" collapsed="false">
      <c r="A12" s="12"/>
      <c r="B12" s="13"/>
      <c r="C12" s="14"/>
      <c r="D12" s="13"/>
      <c r="E12" s="15"/>
      <c r="F12" s="13"/>
      <c r="G12" s="13"/>
      <c r="H12" s="14"/>
      <c r="I12" s="2"/>
      <c r="J12" s="12"/>
      <c r="K12" s="13"/>
      <c r="L12" s="14"/>
      <c r="M12" s="13"/>
      <c r="N12" s="15"/>
      <c r="O12" s="13"/>
      <c r="P12" s="13"/>
      <c r="Q12" s="14"/>
    </row>
    <row r="13" customFormat="false" ht="15" hidden="false" customHeight="false" outlineLevel="0" collapsed="false">
      <c r="A13" s="12"/>
      <c r="B13" s="13"/>
      <c r="C13" s="14"/>
      <c r="D13" s="13"/>
      <c r="E13" s="15"/>
      <c r="F13" s="13"/>
      <c r="G13" s="13"/>
      <c r="H13" s="14"/>
      <c r="I13" s="2"/>
      <c r="J13" s="12"/>
      <c r="K13" s="13"/>
      <c r="L13" s="14"/>
      <c r="M13" s="13"/>
      <c r="N13" s="15"/>
      <c r="O13" s="13"/>
      <c r="P13" s="13"/>
      <c r="Q13" s="14"/>
    </row>
    <row r="14" customFormat="false" ht="15" hidden="false" customHeight="false" outlineLevel="0" collapsed="false">
      <c r="A14" s="12"/>
      <c r="B14" s="13"/>
      <c r="C14" s="14"/>
      <c r="D14" s="13"/>
      <c r="E14" s="15"/>
      <c r="F14" s="13"/>
      <c r="G14" s="13"/>
      <c r="H14" s="14"/>
      <c r="I14" s="2"/>
      <c r="J14" s="12"/>
      <c r="K14" s="13"/>
      <c r="L14" s="14"/>
      <c r="M14" s="13"/>
      <c r="N14" s="15"/>
      <c r="O14" s="13"/>
      <c r="P14" s="13"/>
      <c r="Q14" s="14"/>
    </row>
    <row r="15" customFormat="false" ht="15" hidden="false" customHeight="false" outlineLevel="0" collapsed="false">
      <c r="A15" s="12"/>
      <c r="B15" s="13"/>
      <c r="C15" s="14"/>
      <c r="D15" s="13"/>
      <c r="E15" s="15"/>
      <c r="F15" s="13"/>
      <c r="G15" s="13"/>
      <c r="H15" s="14"/>
      <c r="I15" s="2"/>
      <c r="J15" s="12"/>
      <c r="K15" s="13"/>
      <c r="L15" s="14"/>
      <c r="M15" s="13"/>
      <c r="N15" s="15"/>
      <c r="O15" s="13"/>
      <c r="P15" s="13"/>
      <c r="Q15" s="14"/>
    </row>
    <row r="16" customFormat="false" ht="15" hidden="false" customHeight="false" outlineLevel="0" collapsed="false">
      <c r="A16" s="12"/>
      <c r="B16" s="13"/>
      <c r="C16" s="14"/>
      <c r="D16" s="13"/>
      <c r="E16" s="15"/>
      <c r="F16" s="13"/>
      <c r="G16" s="13"/>
      <c r="H16" s="14"/>
      <c r="I16" s="2"/>
      <c r="J16" s="12"/>
      <c r="K16" s="13"/>
      <c r="L16" s="14"/>
      <c r="M16" s="13"/>
      <c r="N16" s="15"/>
      <c r="O16" s="13"/>
      <c r="P16" s="13"/>
      <c r="Q16" s="14"/>
    </row>
    <row r="17" customFormat="false" ht="15" hidden="false" customHeight="false" outlineLevel="0" collapsed="false">
      <c r="A17" s="12"/>
      <c r="B17" s="13"/>
      <c r="C17" s="14"/>
      <c r="D17" s="13"/>
      <c r="E17" s="15"/>
      <c r="F17" s="13"/>
      <c r="G17" s="13"/>
      <c r="H17" s="14"/>
      <c r="I17" s="2"/>
      <c r="J17" s="12"/>
      <c r="K17" s="13"/>
      <c r="L17" s="14"/>
      <c r="M17" s="13"/>
      <c r="N17" s="15"/>
      <c r="O17" s="13"/>
      <c r="P17" s="13"/>
      <c r="Q17" s="14"/>
    </row>
    <row r="18" customFormat="false" ht="15" hidden="false" customHeight="false" outlineLevel="0" collapsed="false">
      <c r="A18" s="12"/>
      <c r="B18" s="13"/>
      <c r="C18" s="14"/>
      <c r="D18" s="13"/>
      <c r="E18" s="15"/>
      <c r="F18" s="13"/>
      <c r="G18" s="13"/>
      <c r="H18" s="14"/>
      <c r="I18" s="2"/>
      <c r="J18" s="12"/>
      <c r="K18" s="13"/>
      <c r="L18" s="14"/>
      <c r="M18" s="13"/>
      <c r="N18" s="15"/>
      <c r="O18" s="13"/>
      <c r="P18" s="13"/>
      <c r="Q18" s="14"/>
    </row>
    <row r="19" customFormat="false" ht="15" hidden="false" customHeight="false" outlineLevel="0" collapsed="false">
      <c r="A19" s="12"/>
      <c r="B19" s="13"/>
      <c r="C19" s="14"/>
      <c r="D19" s="13"/>
      <c r="E19" s="15"/>
      <c r="F19" s="13"/>
      <c r="G19" s="13"/>
      <c r="H19" s="14"/>
      <c r="I19" s="2"/>
      <c r="J19" s="12"/>
      <c r="K19" s="13"/>
      <c r="L19" s="14"/>
      <c r="M19" s="13"/>
      <c r="N19" s="15"/>
      <c r="O19" s="13"/>
      <c r="P19" s="13"/>
      <c r="Q19" s="14"/>
    </row>
    <row r="20" customFormat="false" ht="15" hidden="false" customHeight="false" outlineLevel="0" collapsed="false">
      <c r="A20" s="12"/>
      <c r="B20" s="13"/>
      <c r="C20" s="14"/>
      <c r="D20" s="13"/>
      <c r="E20" s="15"/>
      <c r="F20" s="13"/>
      <c r="G20" s="13"/>
      <c r="H20" s="14"/>
      <c r="I20" s="2"/>
      <c r="J20" s="12"/>
      <c r="K20" s="13"/>
      <c r="L20" s="14"/>
      <c r="M20" s="13"/>
      <c r="N20" s="15"/>
      <c r="O20" s="13"/>
      <c r="P20" s="13"/>
      <c r="Q20" s="14"/>
    </row>
    <row r="21" customFormat="false" ht="15" hidden="false" customHeight="false" outlineLevel="0" collapsed="false">
      <c r="A21" s="12"/>
      <c r="B21" s="13"/>
      <c r="C21" s="14"/>
      <c r="D21" s="13"/>
      <c r="E21" s="15"/>
      <c r="F21" s="13"/>
      <c r="G21" s="13"/>
      <c r="H21" s="14"/>
      <c r="I21" s="2"/>
      <c r="J21" s="12"/>
      <c r="K21" s="13"/>
      <c r="L21" s="14"/>
      <c r="M21" s="13"/>
      <c r="N21" s="15"/>
      <c r="O21" s="13"/>
      <c r="P21" s="13"/>
      <c r="Q21" s="14"/>
    </row>
    <row r="22" customFormat="false" ht="15" hidden="false" customHeight="false" outlineLevel="0" collapsed="false">
      <c r="A22" s="12"/>
      <c r="B22" s="13"/>
      <c r="C22" s="14"/>
      <c r="D22" s="13"/>
      <c r="E22" s="15"/>
      <c r="F22" s="13"/>
      <c r="G22" s="13"/>
      <c r="H22" s="14"/>
      <c r="I22" s="2"/>
      <c r="J22" s="12"/>
      <c r="K22" s="13"/>
      <c r="L22" s="14"/>
      <c r="M22" s="13"/>
      <c r="N22" s="15"/>
      <c r="O22" s="13"/>
      <c r="P22" s="13"/>
      <c r="Q22" s="14"/>
    </row>
    <row r="23" customFormat="false" ht="15" hidden="false" customHeight="false" outlineLevel="0" collapsed="false">
      <c r="A23" s="12"/>
      <c r="B23" s="13"/>
      <c r="C23" s="14"/>
      <c r="D23" s="13"/>
      <c r="E23" s="15"/>
      <c r="F23" s="13"/>
      <c r="G23" s="13"/>
      <c r="H23" s="14"/>
      <c r="I23" s="2"/>
      <c r="J23" s="12"/>
      <c r="K23" s="13"/>
      <c r="L23" s="14"/>
      <c r="M23" s="13"/>
      <c r="N23" s="15"/>
      <c r="O23" s="13"/>
      <c r="P23" s="13"/>
      <c r="Q23" s="14"/>
    </row>
    <row r="24" customFormat="false" ht="15" hidden="false" customHeight="false" outlineLevel="0" collapsed="false">
      <c r="A24" s="12"/>
      <c r="B24" s="13"/>
      <c r="C24" s="14"/>
      <c r="D24" s="13"/>
      <c r="E24" s="15"/>
      <c r="F24" s="13"/>
      <c r="G24" s="13"/>
      <c r="H24" s="14"/>
      <c r="I24" s="2"/>
      <c r="J24" s="12"/>
      <c r="K24" s="13"/>
      <c r="L24" s="14"/>
      <c r="M24" s="13"/>
      <c r="N24" s="15"/>
      <c r="O24" s="13"/>
      <c r="P24" s="13"/>
      <c r="Q24" s="14"/>
    </row>
    <row r="25" customFormat="false" ht="15" hidden="false" customHeight="false" outlineLevel="0" collapsed="false">
      <c r="A25" s="12"/>
      <c r="B25" s="13"/>
      <c r="C25" s="14"/>
      <c r="D25" s="13"/>
      <c r="E25" s="15"/>
      <c r="F25" s="13"/>
      <c r="G25" s="13"/>
      <c r="H25" s="14"/>
      <c r="I25" s="2"/>
      <c r="J25" s="12"/>
      <c r="K25" s="13"/>
      <c r="L25" s="14"/>
      <c r="M25" s="13"/>
      <c r="N25" s="15"/>
      <c r="O25" s="13"/>
      <c r="P25" s="13"/>
      <c r="Q25" s="14"/>
    </row>
    <row r="26" customFormat="false" ht="15" hidden="false" customHeight="false" outlineLevel="0" collapsed="false">
      <c r="A26" s="12"/>
      <c r="B26" s="13"/>
      <c r="C26" s="14"/>
      <c r="D26" s="13"/>
      <c r="E26" s="15"/>
      <c r="F26" s="13"/>
      <c r="G26" s="13"/>
      <c r="H26" s="14"/>
      <c r="I26" s="2"/>
      <c r="J26" s="12"/>
      <c r="K26" s="13"/>
      <c r="L26" s="14"/>
      <c r="M26" s="13"/>
      <c r="N26" s="15"/>
      <c r="O26" s="13"/>
      <c r="P26" s="13"/>
      <c r="Q26" s="14"/>
    </row>
    <row r="27" customFormat="false" ht="15" hidden="false" customHeight="false" outlineLevel="0" collapsed="false">
      <c r="A27" s="12"/>
      <c r="B27" s="13"/>
      <c r="C27" s="14"/>
      <c r="D27" s="13"/>
      <c r="E27" s="15"/>
      <c r="F27" s="13"/>
      <c r="G27" s="13"/>
      <c r="H27" s="14"/>
      <c r="I27" s="2"/>
      <c r="J27" s="12"/>
      <c r="K27" s="13"/>
      <c r="L27" s="14"/>
      <c r="M27" s="13"/>
      <c r="N27" s="15"/>
      <c r="O27" s="13"/>
      <c r="P27" s="13"/>
      <c r="Q27" s="14"/>
    </row>
    <row r="28" customFormat="false" ht="15" hidden="false" customHeight="false" outlineLevel="0" collapsed="false">
      <c r="A28" s="12"/>
      <c r="B28" s="13"/>
      <c r="C28" s="14"/>
      <c r="D28" s="13"/>
      <c r="E28" s="15"/>
      <c r="F28" s="13"/>
      <c r="G28" s="13"/>
      <c r="H28" s="14"/>
      <c r="I28" s="2"/>
      <c r="J28" s="12"/>
      <c r="K28" s="13"/>
      <c r="L28" s="14"/>
      <c r="M28" s="13"/>
      <c r="N28" s="15"/>
      <c r="O28" s="13"/>
      <c r="P28" s="13"/>
      <c r="Q28" s="14"/>
    </row>
    <row r="29" customFormat="false" ht="15" hidden="false" customHeight="false" outlineLevel="0" collapsed="false">
      <c r="A29" s="12"/>
      <c r="B29" s="13"/>
      <c r="C29" s="14"/>
      <c r="D29" s="13"/>
      <c r="E29" s="15"/>
      <c r="F29" s="13"/>
      <c r="G29" s="13"/>
      <c r="H29" s="14"/>
      <c r="I29" s="2"/>
      <c r="J29" s="12"/>
      <c r="K29" s="13"/>
      <c r="L29" s="14"/>
      <c r="M29" s="13"/>
      <c r="N29" s="15"/>
      <c r="O29" s="13"/>
      <c r="P29" s="13"/>
      <c r="Q29" s="14"/>
    </row>
    <row r="30" customFormat="false" ht="15" hidden="false" customHeight="false" outlineLevel="0" collapsed="false">
      <c r="A30" s="12"/>
      <c r="B30" s="13"/>
      <c r="C30" s="14"/>
      <c r="D30" s="13"/>
      <c r="E30" s="15"/>
      <c r="F30" s="13"/>
      <c r="G30" s="13"/>
      <c r="H30" s="14"/>
      <c r="I30" s="2"/>
      <c r="J30" s="12"/>
      <c r="K30" s="13"/>
      <c r="L30" s="14"/>
      <c r="M30" s="13"/>
      <c r="N30" s="15"/>
      <c r="O30" s="13"/>
      <c r="P30" s="13"/>
      <c r="Q30" s="14"/>
    </row>
    <row r="31" customFormat="false" ht="15" hidden="false" customHeight="false" outlineLevel="0" collapsed="false">
      <c r="A31" s="12"/>
      <c r="B31" s="13"/>
      <c r="C31" s="14"/>
      <c r="D31" s="13"/>
      <c r="E31" s="15"/>
      <c r="F31" s="13"/>
      <c r="G31" s="13"/>
      <c r="H31" s="14"/>
      <c r="I31" s="2"/>
      <c r="J31" s="12"/>
      <c r="K31" s="13"/>
      <c r="L31" s="14"/>
      <c r="M31" s="13"/>
      <c r="N31" s="15"/>
      <c r="O31" s="13"/>
      <c r="P31" s="13"/>
      <c r="Q31" s="14"/>
    </row>
    <row r="32" customFormat="false" ht="15" hidden="false" customHeight="false" outlineLevel="0" collapsed="false">
      <c r="A32" s="12"/>
      <c r="B32" s="13"/>
      <c r="C32" s="14"/>
      <c r="D32" s="13"/>
      <c r="E32" s="15"/>
      <c r="F32" s="13"/>
      <c r="G32" s="13"/>
      <c r="H32" s="14"/>
      <c r="I32" s="2"/>
      <c r="J32" s="12"/>
      <c r="K32" s="13"/>
      <c r="L32" s="14"/>
      <c r="M32" s="13"/>
      <c r="N32" s="15"/>
      <c r="O32" s="13"/>
      <c r="P32" s="13"/>
      <c r="Q32" s="14"/>
    </row>
    <row r="33" customFormat="false" ht="15" hidden="false" customHeight="false" outlineLevel="0" collapsed="false">
      <c r="A33" s="12"/>
      <c r="B33" s="13"/>
      <c r="C33" s="14"/>
      <c r="D33" s="13"/>
      <c r="E33" s="15"/>
      <c r="F33" s="13"/>
      <c r="G33" s="13"/>
      <c r="H33" s="14"/>
      <c r="I33" s="2"/>
      <c r="J33" s="12"/>
      <c r="K33" s="13"/>
      <c r="L33" s="14"/>
      <c r="M33" s="13"/>
      <c r="N33" s="15"/>
      <c r="O33" s="13"/>
      <c r="P33" s="13"/>
      <c r="Q33" s="14"/>
    </row>
    <row r="34" customFormat="false" ht="15" hidden="false" customHeight="false" outlineLevel="0" collapsed="false">
      <c r="A34" s="12"/>
      <c r="B34" s="13"/>
      <c r="C34" s="14"/>
      <c r="D34" s="13"/>
      <c r="E34" s="15"/>
      <c r="F34" s="13"/>
      <c r="G34" s="13"/>
      <c r="H34" s="14"/>
      <c r="I34" s="2"/>
      <c r="J34" s="12"/>
      <c r="K34" s="13"/>
      <c r="L34" s="14"/>
      <c r="M34" s="13"/>
      <c r="N34" s="15"/>
      <c r="O34" s="13"/>
      <c r="P34" s="13"/>
      <c r="Q34" s="14"/>
    </row>
    <row r="35" customFormat="false" ht="15" hidden="false" customHeight="false" outlineLevel="0" collapsed="false">
      <c r="A35" s="12"/>
      <c r="B35" s="13"/>
      <c r="C35" s="14"/>
      <c r="D35" s="13"/>
      <c r="E35" s="15"/>
      <c r="F35" s="13"/>
      <c r="G35" s="13"/>
      <c r="H35" s="14"/>
      <c r="I35" s="2"/>
      <c r="J35" s="12"/>
      <c r="K35" s="13"/>
      <c r="L35" s="14"/>
      <c r="M35" s="13"/>
      <c r="N35" s="15"/>
      <c r="O35" s="13"/>
      <c r="P35" s="13"/>
      <c r="Q35" s="14"/>
    </row>
    <row r="36" customFormat="false" ht="15" hidden="false" customHeight="false" outlineLevel="0" collapsed="false">
      <c r="A36" s="12"/>
      <c r="B36" s="13"/>
      <c r="C36" s="14"/>
      <c r="D36" s="13"/>
      <c r="E36" s="15"/>
      <c r="F36" s="13"/>
      <c r="G36" s="13"/>
      <c r="H36" s="14"/>
      <c r="I36" s="2"/>
      <c r="J36" s="12"/>
      <c r="K36" s="13"/>
      <c r="L36" s="14"/>
      <c r="M36" s="13"/>
      <c r="N36" s="15"/>
      <c r="O36" s="13"/>
      <c r="P36" s="13"/>
      <c r="Q36" s="14"/>
    </row>
    <row r="37" customFormat="false" ht="15" hidden="false" customHeight="false" outlineLevel="0" collapsed="false">
      <c r="A37" s="12"/>
      <c r="B37" s="13"/>
      <c r="C37" s="14"/>
      <c r="D37" s="13"/>
      <c r="E37" s="15"/>
      <c r="F37" s="13"/>
      <c r="G37" s="13"/>
      <c r="H37" s="14"/>
      <c r="I37" s="2"/>
      <c r="J37" s="12"/>
      <c r="K37" s="13"/>
      <c r="L37" s="14"/>
      <c r="M37" s="13"/>
      <c r="N37" s="15"/>
      <c r="O37" s="13"/>
      <c r="P37" s="13"/>
      <c r="Q37" s="14"/>
    </row>
    <row r="38" customFormat="false" ht="15" hidden="false" customHeight="false" outlineLevel="0" collapsed="false">
      <c r="A38" s="12"/>
      <c r="B38" s="13"/>
      <c r="C38" s="14"/>
      <c r="D38" s="13"/>
      <c r="E38" s="15"/>
      <c r="F38" s="13"/>
      <c r="G38" s="13"/>
      <c r="H38" s="14"/>
      <c r="I38" s="2"/>
      <c r="J38" s="12"/>
      <c r="K38" s="13"/>
      <c r="L38" s="14"/>
      <c r="M38" s="13"/>
      <c r="N38" s="15"/>
      <c r="O38" s="13"/>
      <c r="P38" s="13"/>
      <c r="Q38" s="14"/>
    </row>
    <row r="39" customFormat="false" ht="15" hidden="false" customHeight="false" outlineLevel="0" collapsed="false">
      <c r="A39" s="12"/>
      <c r="B39" s="13"/>
      <c r="C39" s="14"/>
      <c r="D39" s="13"/>
      <c r="E39" s="15"/>
      <c r="F39" s="13"/>
      <c r="G39" s="13"/>
      <c r="H39" s="14"/>
      <c r="I39" s="2"/>
      <c r="J39" s="12"/>
      <c r="K39" s="13"/>
      <c r="L39" s="14"/>
      <c r="M39" s="13"/>
      <c r="N39" s="15"/>
      <c r="O39" s="13"/>
      <c r="P39" s="13"/>
      <c r="Q39" s="14"/>
    </row>
    <row r="40" customFormat="false" ht="15" hidden="false" customHeight="false" outlineLevel="0" collapsed="false">
      <c r="A40" s="12"/>
      <c r="B40" s="13"/>
      <c r="C40" s="14"/>
      <c r="D40" s="13"/>
      <c r="E40" s="15"/>
      <c r="F40" s="13"/>
      <c r="G40" s="13"/>
      <c r="H40" s="14"/>
      <c r="I40" s="2"/>
      <c r="J40" s="12"/>
      <c r="K40" s="13"/>
      <c r="L40" s="14"/>
      <c r="M40" s="13"/>
      <c r="N40" s="15"/>
      <c r="O40" s="13"/>
      <c r="P40" s="13"/>
      <c r="Q40" s="14"/>
    </row>
    <row r="41" customFormat="false" ht="15" hidden="false" customHeight="false" outlineLevel="0" collapsed="false">
      <c r="A41" s="12"/>
      <c r="B41" s="13"/>
      <c r="C41" s="14"/>
      <c r="D41" s="13"/>
      <c r="E41" s="15"/>
      <c r="F41" s="13"/>
      <c r="G41" s="13"/>
      <c r="H41" s="14"/>
      <c r="I41" s="2"/>
      <c r="J41" s="12"/>
      <c r="K41" s="13"/>
      <c r="L41" s="14"/>
      <c r="M41" s="13"/>
      <c r="N41" s="15"/>
      <c r="O41" s="13"/>
      <c r="P41" s="13"/>
      <c r="Q41" s="14"/>
    </row>
    <row r="42" customFormat="false" ht="15" hidden="false" customHeight="false" outlineLevel="0" collapsed="false">
      <c r="A42" s="12"/>
      <c r="B42" s="13"/>
      <c r="C42" s="14"/>
      <c r="D42" s="13"/>
      <c r="E42" s="15"/>
      <c r="F42" s="13"/>
      <c r="G42" s="13"/>
      <c r="H42" s="14"/>
      <c r="I42" s="2"/>
      <c r="J42" s="12"/>
      <c r="K42" s="13"/>
      <c r="L42" s="14"/>
      <c r="M42" s="13"/>
      <c r="N42" s="15"/>
      <c r="O42" s="13"/>
      <c r="P42" s="13"/>
      <c r="Q42" s="14"/>
    </row>
    <row r="43" customFormat="false" ht="15" hidden="false" customHeight="false" outlineLevel="0" collapsed="false">
      <c r="A43" s="12"/>
      <c r="B43" s="13"/>
      <c r="C43" s="14"/>
      <c r="D43" s="13"/>
      <c r="E43" s="15"/>
      <c r="F43" s="13"/>
      <c r="G43" s="13"/>
      <c r="H43" s="14"/>
      <c r="I43" s="2"/>
      <c r="J43" s="12"/>
      <c r="K43" s="13"/>
      <c r="L43" s="14"/>
      <c r="M43" s="13"/>
      <c r="N43" s="15"/>
      <c r="O43" s="13"/>
      <c r="P43" s="13"/>
      <c r="Q43" s="14"/>
    </row>
    <row r="44" customFormat="false" ht="15" hidden="false" customHeight="false" outlineLevel="0" collapsed="false">
      <c r="A44" s="12"/>
      <c r="B44" s="13"/>
      <c r="C44" s="14"/>
      <c r="D44" s="13"/>
      <c r="E44" s="15"/>
      <c r="F44" s="13"/>
      <c r="G44" s="13"/>
      <c r="H44" s="14"/>
      <c r="I44" s="2"/>
      <c r="J44" s="12"/>
      <c r="K44" s="13"/>
      <c r="L44" s="14"/>
      <c r="M44" s="13"/>
      <c r="N44" s="15"/>
      <c r="O44" s="13"/>
      <c r="P44" s="13"/>
      <c r="Q44" s="14"/>
    </row>
    <row r="45" customFormat="false" ht="15" hidden="false" customHeight="false" outlineLevel="0" collapsed="false">
      <c r="A45" s="12"/>
      <c r="B45" s="13"/>
      <c r="C45" s="14"/>
      <c r="D45" s="13"/>
      <c r="E45" s="15"/>
      <c r="F45" s="13"/>
      <c r="G45" s="13"/>
      <c r="H45" s="14"/>
      <c r="I45" s="2"/>
      <c r="J45" s="12"/>
      <c r="K45" s="13"/>
      <c r="L45" s="14"/>
      <c r="M45" s="13"/>
      <c r="N45" s="15"/>
      <c r="O45" s="13"/>
      <c r="P45" s="13"/>
      <c r="Q45" s="14"/>
    </row>
    <row r="46" customFormat="false" ht="15" hidden="false" customHeight="false" outlineLevel="0" collapsed="false">
      <c r="A46" s="12"/>
      <c r="B46" s="13"/>
      <c r="C46" s="14"/>
      <c r="D46" s="13"/>
      <c r="E46" s="15"/>
      <c r="F46" s="13"/>
      <c r="G46" s="13"/>
      <c r="H46" s="14"/>
      <c r="I46" s="2"/>
      <c r="J46" s="12"/>
      <c r="K46" s="13"/>
      <c r="L46" s="14"/>
      <c r="M46" s="13"/>
      <c r="N46" s="15"/>
      <c r="O46" s="13"/>
      <c r="P46" s="13"/>
      <c r="Q46" s="14"/>
    </row>
    <row r="47" customFormat="false" ht="15" hidden="false" customHeight="false" outlineLevel="0" collapsed="false">
      <c r="A47" s="12"/>
      <c r="B47" s="13"/>
      <c r="C47" s="14"/>
      <c r="D47" s="13"/>
      <c r="E47" s="15"/>
      <c r="F47" s="13"/>
      <c r="G47" s="13"/>
      <c r="H47" s="14"/>
      <c r="I47" s="2"/>
      <c r="J47" s="12"/>
      <c r="K47" s="13"/>
      <c r="L47" s="14"/>
      <c r="M47" s="13"/>
      <c r="N47" s="15"/>
      <c r="O47" s="13"/>
      <c r="P47" s="13"/>
      <c r="Q47" s="14"/>
    </row>
    <row r="48" customFormat="false" ht="15" hidden="false" customHeight="false" outlineLevel="0" collapsed="false">
      <c r="A48" s="12"/>
      <c r="B48" s="13"/>
      <c r="C48" s="14"/>
      <c r="D48" s="13"/>
      <c r="E48" s="15"/>
      <c r="F48" s="13"/>
      <c r="G48" s="13"/>
      <c r="H48" s="14"/>
      <c r="I48" s="2"/>
      <c r="J48" s="12"/>
      <c r="K48" s="13"/>
      <c r="L48" s="14"/>
      <c r="M48" s="13"/>
      <c r="N48" s="15"/>
      <c r="O48" s="13"/>
      <c r="P48" s="13"/>
      <c r="Q48" s="14"/>
    </row>
    <row r="49" customFormat="false" ht="15" hidden="false" customHeight="false" outlineLevel="0" collapsed="false">
      <c r="A49" s="16" t="s">
        <v>22</v>
      </c>
      <c r="B49" s="16"/>
      <c r="C49" s="17" t="n">
        <f aca="false">SUM(C9:C48)</f>
        <v>0</v>
      </c>
      <c r="D49" s="18"/>
      <c r="E49" s="18"/>
      <c r="F49" s="18"/>
      <c r="G49" s="18"/>
      <c r="H49" s="17" t="n">
        <f aca="false">SUM(H9:H48)</f>
        <v>0</v>
      </c>
      <c r="I49" s="2"/>
      <c r="J49" s="19" t="s">
        <v>22</v>
      </c>
      <c r="K49" s="19"/>
      <c r="L49" s="20" t="n">
        <f aca="false">SUM(L9:L48)</f>
        <v>0</v>
      </c>
      <c r="M49" s="21"/>
      <c r="N49" s="21"/>
      <c r="O49" s="21"/>
      <c r="P49" s="21"/>
      <c r="Q49" s="20" t="n">
        <f aca="false">SUM(Q9:Q48)</f>
        <v>0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customFormat="false" ht="15" hidden="false" customHeight="false" outlineLevel="0" collapsed="false">
      <c r="A51" s="22" t="s">
        <v>24</v>
      </c>
      <c r="B51" s="22"/>
      <c r="C51" s="22"/>
      <c r="D51" s="22"/>
      <c r="E51" s="22"/>
      <c r="F51" s="22"/>
      <c r="G51" s="22"/>
      <c r="H51" s="22"/>
      <c r="I51" s="2"/>
      <c r="J51" s="23" t="s">
        <v>25</v>
      </c>
      <c r="K51" s="23"/>
      <c r="L51" s="23"/>
      <c r="M51" s="23"/>
      <c r="N51" s="2"/>
      <c r="O51" s="2"/>
      <c r="P51" s="2"/>
      <c r="Q51" s="2"/>
    </row>
    <row r="52" customFormat="false" ht="15" hidden="false" customHeight="false" outlineLevel="0" collapsed="false">
      <c r="A52" s="22" t="s">
        <v>5</v>
      </c>
      <c r="B52" s="22" t="s">
        <v>26</v>
      </c>
      <c r="C52" s="22" t="s">
        <v>27</v>
      </c>
      <c r="D52" s="22"/>
      <c r="E52" s="22"/>
      <c r="F52" s="22"/>
      <c r="G52" s="22" t="s">
        <v>28</v>
      </c>
      <c r="H52" s="22"/>
      <c r="I52" s="2"/>
      <c r="J52" s="23" t="s">
        <v>29</v>
      </c>
      <c r="K52" s="23"/>
      <c r="L52" s="23"/>
      <c r="M52" s="23" t="s">
        <v>28</v>
      </c>
      <c r="N52" s="2"/>
      <c r="O52" s="2"/>
      <c r="P52" s="2"/>
      <c r="Q52" s="2"/>
    </row>
    <row r="53" customFormat="false" ht="15" hidden="false" customHeight="false" outlineLevel="0" collapsed="false">
      <c r="A53" s="12"/>
      <c r="B53" s="13"/>
      <c r="C53" s="13"/>
      <c r="D53" s="13"/>
      <c r="E53" s="13"/>
      <c r="F53" s="13"/>
      <c r="G53" s="14"/>
      <c r="H53" s="14"/>
      <c r="I53" s="2"/>
      <c r="J53" s="24" t="str">
        <f aca="false">設定!$B$5&amp;" 仕入れ合計"</f>
        <v>従業員A 仕入れ合計</v>
      </c>
      <c r="K53" s="24"/>
      <c r="L53" s="24"/>
      <c r="M53" s="25" t="n">
        <f aca="false">C49</f>
        <v>0</v>
      </c>
      <c r="N53" s="2"/>
      <c r="O53" s="2"/>
      <c r="P53" s="2"/>
      <c r="Q53" s="2"/>
    </row>
    <row r="54" customFormat="false" ht="15" hidden="false" customHeight="false" outlineLevel="0" collapsed="false">
      <c r="A54" s="12"/>
      <c r="B54" s="13"/>
      <c r="C54" s="13"/>
      <c r="D54" s="13"/>
      <c r="E54" s="13"/>
      <c r="F54" s="13"/>
      <c r="G54" s="14"/>
      <c r="H54" s="14"/>
      <c r="I54" s="2"/>
      <c r="J54" s="24" t="str">
        <f aca="false">設定!$B$5&amp;" 交通費合計"</f>
        <v>従業員A 交通費合計</v>
      </c>
      <c r="K54" s="24"/>
      <c r="L54" s="24"/>
      <c r="M54" s="25" t="n">
        <f aca="false">H49</f>
        <v>0</v>
      </c>
      <c r="N54" s="2"/>
      <c r="O54" s="2"/>
      <c r="P54" s="2"/>
      <c r="Q54" s="2"/>
    </row>
    <row r="55" customFormat="false" ht="15" hidden="false" customHeight="false" outlineLevel="0" collapsed="false">
      <c r="A55" s="12"/>
      <c r="B55" s="13"/>
      <c r="C55" s="13"/>
      <c r="D55" s="13"/>
      <c r="E55" s="13"/>
      <c r="F55" s="13"/>
      <c r="G55" s="14"/>
      <c r="H55" s="14"/>
      <c r="I55" s="2"/>
      <c r="J55" s="24" t="str">
        <f aca="false">設定!$B$5&amp;" 立替精算額（返金額）"</f>
        <v>従業員A 立替精算額（返金額）</v>
      </c>
      <c r="K55" s="24"/>
      <c r="L55" s="24"/>
      <c r="M55" s="25" t="n">
        <f aca="false">SUMIF(E9:E48,"○",C9:C48)+SUMIF(E9:E48,"○",H9:H48)</f>
        <v>0</v>
      </c>
      <c r="N55" s="2"/>
      <c r="O55" s="2"/>
      <c r="P55" s="2"/>
      <c r="Q55" s="2"/>
    </row>
    <row r="56" customFormat="false" ht="15" hidden="false" customHeight="false" outlineLevel="0" collapsed="false">
      <c r="A56" s="12"/>
      <c r="B56" s="13"/>
      <c r="C56" s="13"/>
      <c r="D56" s="13"/>
      <c r="E56" s="13"/>
      <c r="F56" s="13"/>
      <c r="G56" s="14"/>
      <c r="H56" s="14"/>
      <c r="I56" s="2"/>
      <c r="J56" s="24" t="str">
        <f aca="false">設定!$B$6&amp;" 仕入れ合計"</f>
        <v>従業員B 仕入れ合計</v>
      </c>
      <c r="K56" s="24"/>
      <c r="L56" s="24"/>
      <c r="M56" s="25" t="n">
        <f aca="false">L49</f>
        <v>0</v>
      </c>
      <c r="N56" s="2"/>
      <c r="O56" s="2"/>
      <c r="P56" s="2"/>
      <c r="Q56" s="2"/>
    </row>
    <row r="57" customFormat="false" ht="15" hidden="false" customHeight="false" outlineLevel="0" collapsed="false">
      <c r="A57" s="12"/>
      <c r="B57" s="13"/>
      <c r="C57" s="13"/>
      <c r="D57" s="13"/>
      <c r="E57" s="13"/>
      <c r="F57" s="13"/>
      <c r="G57" s="14"/>
      <c r="H57" s="14"/>
      <c r="I57" s="2"/>
      <c r="J57" s="24" t="str">
        <f aca="false">設定!$B$6&amp;" 交通費合計"</f>
        <v>従業員B 交通費合計</v>
      </c>
      <c r="K57" s="24"/>
      <c r="L57" s="24"/>
      <c r="M57" s="25" t="n">
        <f aca="false">Q49</f>
        <v>0</v>
      </c>
      <c r="N57" s="2"/>
      <c r="O57" s="2"/>
      <c r="P57" s="2"/>
      <c r="Q57" s="2"/>
    </row>
    <row r="58" customFormat="false" ht="15" hidden="false" customHeight="false" outlineLevel="0" collapsed="false">
      <c r="A58" s="12"/>
      <c r="B58" s="13"/>
      <c r="C58" s="13"/>
      <c r="D58" s="13"/>
      <c r="E58" s="13"/>
      <c r="F58" s="13"/>
      <c r="G58" s="14"/>
      <c r="H58" s="14"/>
      <c r="I58" s="2"/>
      <c r="J58" s="24" t="str">
        <f aca="false">設定!$B$6&amp;" 立替精算額（返金額）"</f>
        <v>従業員B 立替精算額（返金額）</v>
      </c>
      <c r="K58" s="24"/>
      <c r="L58" s="24"/>
      <c r="M58" s="25" t="n">
        <f aca="false">SUMIF(N9:N48,"○",L9:L48)+SUMIF(N9:N48,"○",Q9:Q48)</f>
        <v>0</v>
      </c>
      <c r="N58" s="2"/>
      <c r="O58" s="2"/>
      <c r="P58" s="2"/>
      <c r="Q58" s="2"/>
    </row>
    <row r="59" customFormat="false" ht="15" hidden="false" customHeight="false" outlineLevel="0" collapsed="false">
      <c r="A59" s="12"/>
      <c r="B59" s="13"/>
      <c r="C59" s="13"/>
      <c r="D59" s="13"/>
      <c r="E59" s="13"/>
      <c r="F59" s="13"/>
      <c r="G59" s="14"/>
      <c r="H59" s="14"/>
      <c r="I59" s="2"/>
      <c r="J59" s="24" t="str">
        <f aca="false">"共通経費　送料"</f>
        <v>共通経費　送料</v>
      </c>
      <c r="K59" s="24"/>
      <c r="L59" s="24"/>
      <c r="M59" s="25" t="n">
        <f aca="false">SUMIF(B53:B60,"送料",G53:G60)</f>
        <v>0</v>
      </c>
      <c r="N59" s="2"/>
      <c r="O59" s="2"/>
      <c r="P59" s="2"/>
      <c r="Q59" s="2"/>
    </row>
    <row r="60" customFormat="false" ht="15" hidden="false" customHeight="false" outlineLevel="0" collapsed="false">
      <c r="A60" s="12"/>
      <c r="B60" s="13"/>
      <c r="C60" s="13"/>
      <c r="D60" s="13"/>
      <c r="E60" s="13"/>
      <c r="F60" s="13"/>
      <c r="G60" s="14"/>
      <c r="H60" s="14"/>
      <c r="I60" s="2"/>
      <c r="J60" s="24" t="str">
        <f aca="false">"共通経費　その他経費"</f>
        <v>共通経費　その他経費</v>
      </c>
      <c r="K60" s="24"/>
      <c r="L60" s="24"/>
      <c r="M60" s="25" t="n">
        <f aca="false">SUMIF(B53:B60,"その他経費",G53:G60)</f>
        <v>0</v>
      </c>
      <c r="N60" s="2"/>
      <c r="O60" s="2"/>
      <c r="P60" s="2"/>
      <c r="Q60" s="2"/>
    </row>
    <row r="61" customFormat="false" ht="15" hidden="false" customHeight="false" outlineLevel="0" collapsed="false">
      <c r="A61" s="26" t="s">
        <v>34</v>
      </c>
      <c r="B61" s="26"/>
      <c r="C61" s="26"/>
      <c r="D61" s="26"/>
      <c r="E61" s="26"/>
      <c r="F61" s="26"/>
      <c r="G61" s="27" t="n">
        <f aca="false">SUM(G53:G60)</f>
        <v>0</v>
      </c>
      <c r="H61" s="27"/>
      <c r="I61" s="2"/>
      <c r="J61" s="28" t="s">
        <v>35</v>
      </c>
      <c r="K61" s="28"/>
      <c r="L61" s="28"/>
      <c r="M61" s="29" t="n">
        <f aca="false">M53+M54+M56+M57+G61</f>
        <v>0</v>
      </c>
      <c r="N61" s="2"/>
      <c r="O61" s="2"/>
      <c r="P61" s="2"/>
      <c r="Q61" s="2"/>
    </row>
  </sheetData>
  <mergeCells count="36">
    <mergeCell ref="A7:H7"/>
    <mergeCell ref="J7:Q7"/>
    <mergeCell ref="A49:B49"/>
    <mergeCell ref="J49:K49"/>
    <mergeCell ref="A51:H51"/>
    <mergeCell ref="J51:M51"/>
    <mergeCell ref="C52:F52"/>
    <mergeCell ref="G52:H52"/>
    <mergeCell ref="J52:L52"/>
    <mergeCell ref="C53:F53"/>
    <mergeCell ref="G53:H53"/>
    <mergeCell ref="J53:L53"/>
    <mergeCell ref="C54:F54"/>
    <mergeCell ref="G54:H54"/>
    <mergeCell ref="J54:L54"/>
    <mergeCell ref="C55:F55"/>
    <mergeCell ref="G55:H55"/>
    <mergeCell ref="J55:L55"/>
    <mergeCell ref="C56:F56"/>
    <mergeCell ref="G56:H56"/>
    <mergeCell ref="J56:L56"/>
    <mergeCell ref="C57:F57"/>
    <mergeCell ref="G57:H57"/>
    <mergeCell ref="J57:L57"/>
    <mergeCell ref="C58:F58"/>
    <mergeCell ref="G58:H58"/>
    <mergeCell ref="J58:L58"/>
    <mergeCell ref="C59:F59"/>
    <mergeCell ref="G59:H59"/>
    <mergeCell ref="J59:L59"/>
    <mergeCell ref="C60:F60"/>
    <mergeCell ref="G60:H60"/>
    <mergeCell ref="J60:L60"/>
    <mergeCell ref="A61:F61"/>
    <mergeCell ref="G61:H61"/>
    <mergeCell ref="J61:L61"/>
  </mergeCells>
  <dataValidations count="3">
    <dataValidation allowBlank="true" errorStyle="stop" operator="between" prompt="従業員が立て替えた行のみ ○ を入力してください。" promptTitle="立替" showDropDown="false" showErrorMessage="false" showInputMessage="false" sqref="E9:E48 N9:N48" type="list">
      <formula1>"○"</formula1>
      <formula2>0</formula2>
    </dataValidation>
    <dataValidation allowBlank="true" errorStyle="stop" operator="between" prompt="現金／クレジットカード等を選択してください。" promptTitle="支払方法" showDropDown="false" showErrorMessage="false" showInputMessage="false" sqref="D9:D48 M9:M48" type="list">
      <formula1>設定!$D$5:$D$10</formula1>
      <formula2>0</formula2>
    </dataValidation>
    <dataValidation allowBlank="true" errorStyle="stop" operator="between" prompt="送料／その他経費 を選択してください。" promptTitle="経費区分" showDropDown="false" showErrorMessage="false" showInputMessage="false" sqref="B53:B60" type="list">
      <formula1>設定!$F$5:$F$6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2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14"/>
    <col collapsed="false" customWidth="true" hidden="false" outlineLevel="0" max="14" min="14" style="0" width="6"/>
    <col collapsed="false" customWidth="true" hidden="false" outlineLevel="0" max="16" min="15" style="0" width="14"/>
    <col collapsed="false" customWidth="true" hidden="false" outlineLevel="0" max="17" min="17" style="0" width="12"/>
  </cols>
  <sheetData>
    <row r="1" customFormat="false" ht="19.4" hidden="false" customHeight="false" outlineLevel="0" collapsed="false">
      <c r="A1" s="1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4" t="str">
        <f aca="false">設定!$B$5</f>
        <v>従業員A</v>
      </c>
      <c r="B7" s="4"/>
      <c r="C7" s="4"/>
      <c r="D7" s="4"/>
      <c r="E7" s="4"/>
      <c r="F7" s="4"/>
      <c r="G7" s="4"/>
      <c r="H7" s="4"/>
      <c r="I7" s="2"/>
      <c r="J7" s="5" t="str">
        <f aca="false">設定!$B$6</f>
        <v>従業員B</v>
      </c>
      <c r="K7" s="5"/>
      <c r="L7" s="5"/>
      <c r="M7" s="5"/>
      <c r="N7" s="5"/>
      <c r="O7" s="5"/>
      <c r="P7" s="5"/>
      <c r="Q7" s="5"/>
    </row>
    <row r="8" customFormat="false" ht="31.5" hidden="false" customHeight="true" outlineLevel="0" collapsed="false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2"/>
      <c r="J8" s="7" t="s">
        <v>5</v>
      </c>
      <c r="K8" s="7" t="s">
        <v>6</v>
      </c>
      <c r="L8" s="7" t="s">
        <v>7</v>
      </c>
      <c r="M8" s="7" t="s">
        <v>8</v>
      </c>
      <c r="N8" s="7" t="s">
        <v>9</v>
      </c>
      <c r="O8" s="7" t="s">
        <v>10</v>
      </c>
      <c r="P8" s="7" t="s">
        <v>11</v>
      </c>
      <c r="Q8" s="7" t="s">
        <v>12</v>
      </c>
    </row>
    <row r="9" customFormat="false" ht="15" hidden="false" customHeight="false" outlineLevel="0" collapsed="false">
      <c r="A9" s="12"/>
      <c r="B9" s="13"/>
      <c r="C9" s="14"/>
      <c r="D9" s="13"/>
      <c r="E9" s="15"/>
      <c r="F9" s="13"/>
      <c r="G9" s="13"/>
      <c r="H9" s="14"/>
      <c r="I9" s="2"/>
      <c r="J9" s="12"/>
      <c r="K9" s="13"/>
      <c r="L9" s="14"/>
      <c r="M9" s="13"/>
      <c r="N9" s="15"/>
      <c r="O9" s="13"/>
      <c r="P9" s="13"/>
      <c r="Q9" s="14"/>
    </row>
    <row r="10" customFormat="false" ht="15" hidden="false" customHeight="false" outlineLevel="0" collapsed="false">
      <c r="A10" s="12"/>
      <c r="B10" s="13"/>
      <c r="C10" s="14"/>
      <c r="D10" s="13"/>
      <c r="E10" s="15"/>
      <c r="F10" s="13"/>
      <c r="G10" s="13"/>
      <c r="H10" s="14"/>
      <c r="I10" s="2"/>
      <c r="J10" s="12"/>
      <c r="K10" s="13"/>
      <c r="L10" s="14"/>
      <c r="M10" s="13"/>
      <c r="N10" s="15"/>
      <c r="O10" s="13"/>
      <c r="P10" s="13"/>
      <c r="Q10" s="14"/>
    </row>
    <row r="11" customFormat="false" ht="15" hidden="false" customHeight="false" outlineLevel="0" collapsed="false">
      <c r="A11" s="12"/>
      <c r="B11" s="13"/>
      <c r="C11" s="14"/>
      <c r="D11" s="13"/>
      <c r="E11" s="15"/>
      <c r="F11" s="13"/>
      <c r="G11" s="13"/>
      <c r="H11" s="14"/>
      <c r="I11" s="2"/>
      <c r="J11" s="12"/>
      <c r="K11" s="13"/>
      <c r="L11" s="14"/>
      <c r="M11" s="13"/>
      <c r="N11" s="15"/>
      <c r="O11" s="13"/>
      <c r="P11" s="13"/>
      <c r="Q11" s="14"/>
    </row>
    <row r="12" customFormat="false" ht="15" hidden="false" customHeight="false" outlineLevel="0" collapsed="false">
      <c r="A12" s="12"/>
      <c r="B12" s="13"/>
      <c r="C12" s="14"/>
      <c r="D12" s="13"/>
      <c r="E12" s="15"/>
      <c r="F12" s="13"/>
      <c r="G12" s="13"/>
      <c r="H12" s="14"/>
      <c r="I12" s="2"/>
      <c r="J12" s="12"/>
      <c r="K12" s="13"/>
      <c r="L12" s="14"/>
      <c r="M12" s="13"/>
      <c r="N12" s="15"/>
      <c r="O12" s="13"/>
      <c r="P12" s="13"/>
      <c r="Q12" s="14"/>
    </row>
    <row r="13" customFormat="false" ht="15" hidden="false" customHeight="false" outlineLevel="0" collapsed="false">
      <c r="A13" s="12"/>
      <c r="B13" s="13"/>
      <c r="C13" s="14"/>
      <c r="D13" s="13"/>
      <c r="E13" s="15"/>
      <c r="F13" s="13"/>
      <c r="G13" s="13"/>
      <c r="H13" s="14"/>
      <c r="I13" s="2"/>
      <c r="J13" s="12"/>
      <c r="K13" s="13"/>
      <c r="L13" s="14"/>
      <c r="M13" s="13"/>
      <c r="N13" s="15"/>
      <c r="O13" s="13"/>
      <c r="P13" s="13"/>
      <c r="Q13" s="14"/>
    </row>
    <row r="14" customFormat="false" ht="15" hidden="false" customHeight="false" outlineLevel="0" collapsed="false">
      <c r="A14" s="12"/>
      <c r="B14" s="13"/>
      <c r="C14" s="14"/>
      <c r="D14" s="13"/>
      <c r="E14" s="15"/>
      <c r="F14" s="13"/>
      <c r="G14" s="13"/>
      <c r="H14" s="14"/>
      <c r="I14" s="2"/>
      <c r="J14" s="12"/>
      <c r="K14" s="13"/>
      <c r="L14" s="14"/>
      <c r="M14" s="13"/>
      <c r="N14" s="15"/>
      <c r="O14" s="13"/>
      <c r="P14" s="13"/>
      <c r="Q14" s="14"/>
    </row>
    <row r="15" customFormat="false" ht="15" hidden="false" customHeight="false" outlineLevel="0" collapsed="false">
      <c r="A15" s="12"/>
      <c r="B15" s="13"/>
      <c r="C15" s="14"/>
      <c r="D15" s="13"/>
      <c r="E15" s="15"/>
      <c r="F15" s="13"/>
      <c r="G15" s="13"/>
      <c r="H15" s="14"/>
      <c r="I15" s="2"/>
      <c r="J15" s="12"/>
      <c r="K15" s="13"/>
      <c r="L15" s="14"/>
      <c r="M15" s="13"/>
      <c r="N15" s="15"/>
      <c r="O15" s="13"/>
      <c r="P15" s="13"/>
      <c r="Q15" s="14"/>
    </row>
    <row r="16" customFormat="false" ht="15" hidden="false" customHeight="false" outlineLevel="0" collapsed="false">
      <c r="A16" s="12"/>
      <c r="B16" s="13"/>
      <c r="C16" s="14"/>
      <c r="D16" s="13"/>
      <c r="E16" s="15"/>
      <c r="F16" s="13"/>
      <c r="G16" s="13"/>
      <c r="H16" s="14"/>
      <c r="I16" s="2"/>
      <c r="J16" s="12"/>
      <c r="K16" s="13"/>
      <c r="L16" s="14"/>
      <c r="M16" s="13"/>
      <c r="N16" s="15"/>
      <c r="O16" s="13"/>
      <c r="P16" s="13"/>
      <c r="Q16" s="14"/>
    </row>
    <row r="17" customFormat="false" ht="15" hidden="false" customHeight="false" outlineLevel="0" collapsed="false">
      <c r="A17" s="12"/>
      <c r="B17" s="13"/>
      <c r="C17" s="14"/>
      <c r="D17" s="13"/>
      <c r="E17" s="15"/>
      <c r="F17" s="13"/>
      <c r="G17" s="13"/>
      <c r="H17" s="14"/>
      <c r="I17" s="2"/>
      <c r="J17" s="12"/>
      <c r="K17" s="13"/>
      <c r="L17" s="14"/>
      <c r="M17" s="13"/>
      <c r="N17" s="15"/>
      <c r="O17" s="13"/>
      <c r="P17" s="13"/>
      <c r="Q17" s="14"/>
    </row>
    <row r="18" customFormat="false" ht="15" hidden="false" customHeight="false" outlineLevel="0" collapsed="false">
      <c r="A18" s="12"/>
      <c r="B18" s="13"/>
      <c r="C18" s="14"/>
      <c r="D18" s="13"/>
      <c r="E18" s="15"/>
      <c r="F18" s="13"/>
      <c r="G18" s="13"/>
      <c r="H18" s="14"/>
      <c r="I18" s="2"/>
      <c r="J18" s="12"/>
      <c r="K18" s="13"/>
      <c r="L18" s="14"/>
      <c r="M18" s="13"/>
      <c r="N18" s="15"/>
      <c r="O18" s="13"/>
      <c r="P18" s="13"/>
      <c r="Q18" s="14"/>
    </row>
    <row r="19" customFormat="false" ht="15" hidden="false" customHeight="false" outlineLevel="0" collapsed="false">
      <c r="A19" s="12"/>
      <c r="B19" s="13"/>
      <c r="C19" s="14"/>
      <c r="D19" s="13"/>
      <c r="E19" s="15"/>
      <c r="F19" s="13"/>
      <c r="G19" s="13"/>
      <c r="H19" s="14"/>
      <c r="I19" s="2"/>
      <c r="J19" s="12"/>
      <c r="K19" s="13"/>
      <c r="L19" s="14"/>
      <c r="M19" s="13"/>
      <c r="N19" s="15"/>
      <c r="O19" s="13"/>
      <c r="P19" s="13"/>
      <c r="Q19" s="14"/>
    </row>
    <row r="20" customFormat="false" ht="15" hidden="false" customHeight="false" outlineLevel="0" collapsed="false">
      <c r="A20" s="12"/>
      <c r="B20" s="13"/>
      <c r="C20" s="14"/>
      <c r="D20" s="13"/>
      <c r="E20" s="15"/>
      <c r="F20" s="13"/>
      <c r="G20" s="13"/>
      <c r="H20" s="14"/>
      <c r="I20" s="2"/>
      <c r="J20" s="12"/>
      <c r="K20" s="13"/>
      <c r="L20" s="14"/>
      <c r="M20" s="13"/>
      <c r="N20" s="15"/>
      <c r="O20" s="13"/>
      <c r="P20" s="13"/>
      <c r="Q20" s="14"/>
    </row>
    <row r="21" customFormat="false" ht="15" hidden="false" customHeight="false" outlineLevel="0" collapsed="false">
      <c r="A21" s="12"/>
      <c r="B21" s="13"/>
      <c r="C21" s="14"/>
      <c r="D21" s="13"/>
      <c r="E21" s="15"/>
      <c r="F21" s="13"/>
      <c r="G21" s="13"/>
      <c r="H21" s="14"/>
      <c r="I21" s="2"/>
      <c r="J21" s="12"/>
      <c r="K21" s="13"/>
      <c r="L21" s="14"/>
      <c r="M21" s="13"/>
      <c r="N21" s="15"/>
      <c r="O21" s="13"/>
      <c r="P21" s="13"/>
      <c r="Q21" s="14"/>
    </row>
    <row r="22" customFormat="false" ht="15" hidden="false" customHeight="false" outlineLevel="0" collapsed="false">
      <c r="A22" s="12"/>
      <c r="B22" s="13"/>
      <c r="C22" s="14"/>
      <c r="D22" s="13"/>
      <c r="E22" s="15"/>
      <c r="F22" s="13"/>
      <c r="G22" s="13"/>
      <c r="H22" s="14"/>
      <c r="I22" s="2"/>
      <c r="J22" s="12"/>
      <c r="K22" s="13"/>
      <c r="L22" s="14"/>
      <c r="M22" s="13"/>
      <c r="N22" s="15"/>
      <c r="O22" s="13"/>
      <c r="P22" s="13"/>
      <c r="Q22" s="14"/>
    </row>
    <row r="23" customFormat="false" ht="15" hidden="false" customHeight="false" outlineLevel="0" collapsed="false">
      <c r="A23" s="12"/>
      <c r="B23" s="13"/>
      <c r="C23" s="14"/>
      <c r="D23" s="13"/>
      <c r="E23" s="15"/>
      <c r="F23" s="13"/>
      <c r="G23" s="13"/>
      <c r="H23" s="14"/>
      <c r="I23" s="2"/>
      <c r="J23" s="12"/>
      <c r="K23" s="13"/>
      <c r="L23" s="14"/>
      <c r="M23" s="13"/>
      <c r="N23" s="15"/>
      <c r="O23" s="13"/>
      <c r="P23" s="13"/>
      <c r="Q23" s="14"/>
    </row>
    <row r="24" customFormat="false" ht="15" hidden="false" customHeight="false" outlineLevel="0" collapsed="false">
      <c r="A24" s="12"/>
      <c r="B24" s="13"/>
      <c r="C24" s="14"/>
      <c r="D24" s="13"/>
      <c r="E24" s="15"/>
      <c r="F24" s="13"/>
      <c r="G24" s="13"/>
      <c r="H24" s="14"/>
      <c r="I24" s="2"/>
      <c r="J24" s="12"/>
      <c r="K24" s="13"/>
      <c r="L24" s="14"/>
      <c r="M24" s="13"/>
      <c r="N24" s="15"/>
      <c r="O24" s="13"/>
      <c r="P24" s="13"/>
      <c r="Q24" s="14"/>
    </row>
    <row r="25" customFormat="false" ht="15" hidden="false" customHeight="false" outlineLevel="0" collapsed="false">
      <c r="A25" s="12"/>
      <c r="B25" s="13"/>
      <c r="C25" s="14"/>
      <c r="D25" s="13"/>
      <c r="E25" s="15"/>
      <c r="F25" s="13"/>
      <c r="G25" s="13"/>
      <c r="H25" s="14"/>
      <c r="I25" s="2"/>
      <c r="J25" s="12"/>
      <c r="K25" s="13"/>
      <c r="L25" s="14"/>
      <c r="M25" s="13"/>
      <c r="N25" s="15"/>
      <c r="O25" s="13"/>
      <c r="P25" s="13"/>
      <c r="Q25" s="14"/>
    </row>
    <row r="26" customFormat="false" ht="15" hidden="false" customHeight="false" outlineLevel="0" collapsed="false">
      <c r="A26" s="12"/>
      <c r="B26" s="13"/>
      <c r="C26" s="14"/>
      <c r="D26" s="13"/>
      <c r="E26" s="15"/>
      <c r="F26" s="13"/>
      <c r="G26" s="13"/>
      <c r="H26" s="14"/>
      <c r="I26" s="2"/>
      <c r="J26" s="12"/>
      <c r="K26" s="13"/>
      <c r="L26" s="14"/>
      <c r="M26" s="13"/>
      <c r="N26" s="15"/>
      <c r="O26" s="13"/>
      <c r="P26" s="13"/>
      <c r="Q26" s="14"/>
    </row>
    <row r="27" customFormat="false" ht="15" hidden="false" customHeight="false" outlineLevel="0" collapsed="false">
      <c r="A27" s="12"/>
      <c r="B27" s="13"/>
      <c r="C27" s="14"/>
      <c r="D27" s="13"/>
      <c r="E27" s="15"/>
      <c r="F27" s="13"/>
      <c r="G27" s="13"/>
      <c r="H27" s="14"/>
      <c r="I27" s="2"/>
      <c r="J27" s="12"/>
      <c r="K27" s="13"/>
      <c r="L27" s="14"/>
      <c r="M27" s="13"/>
      <c r="N27" s="15"/>
      <c r="O27" s="13"/>
      <c r="P27" s="13"/>
      <c r="Q27" s="14"/>
    </row>
    <row r="28" customFormat="false" ht="15" hidden="false" customHeight="false" outlineLevel="0" collapsed="false">
      <c r="A28" s="12"/>
      <c r="B28" s="13"/>
      <c r="C28" s="14"/>
      <c r="D28" s="13"/>
      <c r="E28" s="15"/>
      <c r="F28" s="13"/>
      <c r="G28" s="13"/>
      <c r="H28" s="14"/>
      <c r="I28" s="2"/>
      <c r="J28" s="12"/>
      <c r="K28" s="13"/>
      <c r="L28" s="14"/>
      <c r="M28" s="13"/>
      <c r="N28" s="15"/>
      <c r="O28" s="13"/>
      <c r="P28" s="13"/>
      <c r="Q28" s="14"/>
    </row>
    <row r="29" customFormat="false" ht="15" hidden="false" customHeight="false" outlineLevel="0" collapsed="false">
      <c r="A29" s="12"/>
      <c r="B29" s="13"/>
      <c r="C29" s="14"/>
      <c r="D29" s="13"/>
      <c r="E29" s="15"/>
      <c r="F29" s="13"/>
      <c r="G29" s="13"/>
      <c r="H29" s="14"/>
      <c r="I29" s="2"/>
      <c r="J29" s="12"/>
      <c r="K29" s="13"/>
      <c r="L29" s="14"/>
      <c r="M29" s="13"/>
      <c r="N29" s="15"/>
      <c r="O29" s="13"/>
      <c r="P29" s="13"/>
      <c r="Q29" s="14"/>
    </row>
    <row r="30" customFormat="false" ht="15" hidden="false" customHeight="false" outlineLevel="0" collapsed="false">
      <c r="A30" s="12"/>
      <c r="B30" s="13"/>
      <c r="C30" s="14"/>
      <c r="D30" s="13"/>
      <c r="E30" s="15"/>
      <c r="F30" s="13"/>
      <c r="G30" s="13"/>
      <c r="H30" s="14"/>
      <c r="I30" s="2"/>
      <c r="J30" s="12"/>
      <c r="K30" s="13"/>
      <c r="L30" s="14"/>
      <c r="M30" s="13"/>
      <c r="N30" s="15"/>
      <c r="O30" s="13"/>
      <c r="P30" s="13"/>
      <c r="Q30" s="14"/>
    </row>
    <row r="31" customFormat="false" ht="15" hidden="false" customHeight="false" outlineLevel="0" collapsed="false">
      <c r="A31" s="12"/>
      <c r="B31" s="13"/>
      <c r="C31" s="14"/>
      <c r="D31" s="13"/>
      <c r="E31" s="15"/>
      <c r="F31" s="13"/>
      <c r="G31" s="13"/>
      <c r="H31" s="14"/>
      <c r="I31" s="2"/>
      <c r="J31" s="12"/>
      <c r="K31" s="13"/>
      <c r="L31" s="14"/>
      <c r="M31" s="13"/>
      <c r="N31" s="15"/>
      <c r="O31" s="13"/>
      <c r="P31" s="13"/>
      <c r="Q31" s="14"/>
    </row>
    <row r="32" customFormat="false" ht="15" hidden="false" customHeight="false" outlineLevel="0" collapsed="false">
      <c r="A32" s="12"/>
      <c r="B32" s="13"/>
      <c r="C32" s="14"/>
      <c r="D32" s="13"/>
      <c r="E32" s="15"/>
      <c r="F32" s="13"/>
      <c r="G32" s="13"/>
      <c r="H32" s="14"/>
      <c r="I32" s="2"/>
      <c r="J32" s="12"/>
      <c r="K32" s="13"/>
      <c r="L32" s="14"/>
      <c r="M32" s="13"/>
      <c r="N32" s="15"/>
      <c r="O32" s="13"/>
      <c r="P32" s="13"/>
      <c r="Q32" s="14"/>
    </row>
    <row r="33" customFormat="false" ht="15" hidden="false" customHeight="false" outlineLevel="0" collapsed="false">
      <c r="A33" s="12"/>
      <c r="B33" s="13"/>
      <c r="C33" s="14"/>
      <c r="D33" s="13"/>
      <c r="E33" s="15"/>
      <c r="F33" s="13"/>
      <c r="G33" s="13"/>
      <c r="H33" s="14"/>
      <c r="I33" s="2"/>
      <c r="J33" s="12"/>
      <c r="K33" s="13"/>
      <c r="L33" s="14"/>
      <c r="M33" s="13"/>
      <c r="N33" s="15"/>
      <c r="O33" s="13"/>
      <c r="P33" s="13"/>
      <c r="Q33" s="14"/>
    </row>
    <row r="34" customFormat="false" ht="15" hidden="false" customHeight="false" outlineLevel="0" collapsed="false">
      <c r="A34" s="12"/>
      <c r="B34" s="13"/>
      <c r="C34" s="14"/>
      <c r="D34" s="13"/>
      <c r="E34" s="15"/>
      <c r="F34" s="13"/>
      <c r="G34" s="13"/>
      <c r="H34" s="14"/>
      <c r="I34" s="2"/>
      <c r="J34" s="12"/>
      <c r="K34" s="13"/>
      <c r="L34" s="14"/>
      <c r="M34" s="13"/>
      <c r="N34" s="15"/>
      <c r="O34" s="13"/>
      <c r="P34" s="13"/>
      <c r="Q34" s="14"/>
    </row>
    <row r="35" customFormat="false" ht="15" hidden="false" customHeight="false" outlineLevel="0" collapsed="false">
      <c r="A35" s="12"/>
      <c r="B35" s="13"/>
      <c r="C35" s="14"/>
      <c r="D35" s="13"/>
      <c r="E35" s="15"/>
      <c r="F35" s="13"/>
      <c r="G35" s="13"/>
      <c r="H35" s="14"/>
      <c r="I35" s="2"/>
      <c r="J35" s="12"/>
      <c r="K35" s="13"/>
      <c r="L35" s="14"/>
      <c r="M35" s="13"/>
      <c r="N35" s="15"/>
      <c r="O35" s="13"/>
      <c r="P35" s="13"/>
      <c r="Q35" s="14"/>
    </row>
    <row r="36" customFormat="false" ht="15" hidden="false" customHeight="false" outlineLevel="0" collapsed="false">
      <c r="A36" s="12"/>
      <c r="B36" s="13"/>
      <c r="C36" s="14"/>
      <c r="D36" s="13"/>
      <c r="E36" s="15"/>
      <c r="F36" s="13"/>
      <c r="G36" s="13"/>
      <c r="H36" s="14"/>
      <c r="I36" s="2"/>
      <c r="J36" s="12"/>
      <c r="K36" s="13"/>
      <c r="L36" s="14"/>
      <c r="M36" s="13"/>
      <c r="N36" s="15"/>
      <c r="O36" s="13"/>
      <c r="P36" s="13"/>
      <c r="Q36" s="14"/>
    </row>
    <row r="37" customFormat="false" ht="15" hidden="false" customHeight="false" outlineLevel="0" collapsed="false">
      <c r="A37" s="12"/>
      <c r="B37" s="13"/>
      <c r="C37" s="14"/>
      <c r="D37" s="13"/>
      <c r="E37" s="15"/>
      <c r="F37" s="13"/>
      <c r="G37" s="13"/>
      <c r="H37" s="14"/>
      <c r="I37" s="2"/>
      <c r="J37" s="12"/>
      <c r="K37" s="13"/>
      <c r="L37" s="14"/>
      <c r="M37" s="13"/>
      <c r="N37" s="15"/>
      <c r="O37" s="13"/>
      <c r="P37" s="13"/>
      <c r="Q37" s="14"/>
    </row>
    <row r="38" customFormat="false" ht="15" hidden="false" customHeight="false" outlineLevel="0" collapsed="false">
      <c r="A38" s="12"/>
      <c r="B38" s="13"/>
      <c r="C38" s="14"/>
      <c r="D38" s="13"/>
      <c r="E38" s="15"/>
      <c r="F38" s="13"/>
      <c r="G38" s="13"/>
      <c r="H38" s="14"/>
      <c r="I38" s="2"/>
      <c r="J38" s="12"/>
      <c r="K38" s="13"/>
      <c r="L38" s="14"/>
      <c r="M38" s="13"/>
      <c r="N38" s="15"/>
      <c r="O38" s="13"/>
      <c r="P38" s="13"/>
      <c r="Q38" s="14"/>
    </row>
    <row r="39" customFormat="false" ht="15" hidden="false" customHeight="false" outlineLevel="0" collapsed="false">
      <c r="A39" s="12"/>
      <c r="B39" s="13"/>
      <c r="C39" s="14"/>
      <c r="D39" s="13"/>
      <c r="E39" s="15"/>
      <c r="F39" s="13"/>
      <c r="G39" s="13"/>
      <c r="H39" s="14"/>
      <c r="I39" s="2"/>
      <c r="J39" s="12"/>
      <c r="K39" s="13"/>
      <c r="L39" s="14"/>
      <c r="M39" s="13"/>
      <c r="N39" s="15"/>
      <c r="O39" s="13"/>
      <c r="P39" s="13"/>
      <c r="Q39" s="14"/>
    </row>
    <row r="40" customFormat="false" ht="15" hidden="false" customHeight="false" outlineLevel="0" collapsed="false">
      <c r="A40" s="12"/>
      <c r="B40" s="13"/>
      <c r="C40" s="14"/>
      <c r="D40" s="13"/>
      <c r="E40" s="15"/>
      <c r="F40" s="13"/>
      <c r="G40" s="13"/>
      <c r="H40" s="14"/>
      <c r="I40" s="2"/>
      <c r="J40" s="12"/>
      <c r="K40" s="13"/>
      <c r="L40" s="14"/>
      <c r="M40" s="13"/>
      <c r="N40" s="15"/>
      <c r="O40" s="13"/>
      <c r="P40" s="13"/>
      <c r="Q40" s="14"/>
    </row>
    <row r="41" customFormat="false" ht="15" hidden="false" customHeight="false" outlineLevel="0" collapsed="false">
      <c r="A41" s="12"/>
      <c r="B41" s="13"/>
      <c r="C41" s="14"/>
      <c r="D41" s="13"/>
      <c r="E41" s="15"/>
      <c r="F41" s="13"/>
      <c r="G41" s="13"/>
      <c r="H41" s="14"/>
      <c r="I41" s="2"/>
      <c r="J41" s="12"/>
      <c r="K41" s="13"/>
      <c r="L41" s="14"/>
      <c r="M41" s="13"/>
      <c r="N41" s="15"/>
      <c r="O41" s="13"/>
      <c r="P41" s="13"/>
      <c r="Q41" s="14"/>
    </row>
    <row r="42" customFormat="false" ht="15" hidden="false" customHeight="false" outlineLevel="0" collapsed="false">
      <c r="A42" s="12"/>
      <c r="B42" s="13"/>
      <c r="C42" s="14"/>
      <c r="D42" s="13"/>
      <c r="E42" s="15"/>
      <c r="F42" s="13"/>
      <c r="G42" s="13"/>
      <c r="H42" s="14"/>
      <c r="I42" s="2"/>
      <c r="J42" s="12"/>
      <c r="K42" s="13"/>
      <c r="L42" s="14"/>
      <c r="M42" s="13"/>
      <c r="N42" s="15"/>
      <c r="O42" s="13"/>
      <c r="P42" s="13"/>
      <c r="Q42" s="14"/>
    </row>
    <row r="43" customFormat="false" ht="15" hidden="false" customHeight="false" outlineLevel="0" collapsed="false">
      <c r="A43" s="12"/>
      <c r="B43" s="13"/>
      <c r="C43" s="14"/>
      <c r="D43" s="13"/>
      <c r="E43" s="15"/>
      <c r="F43" s="13"/>
      <c r="G43" s="13"/>
      <c r="H43" s="14"/>
      <c r="I43" s="2"/>
      <c r="J43" s="12"/>
      <c r="K43" s="13"/>
      <c r="L43" s="14"/>
      <c r="M43" s="13"/>
      <c r="N43" s="15"/>
      <c r="O43" s="13"/>
      <c r="P43" s="13"/>
      <c r="Q43" s="14"/>
    </row>
    <row r="44" customFormat="false" ht="15" hidden="false" customHeight="false" outlineLevel="0" collapsed="false">
      <c r="A44" s="12"/>
      <c r="B44" s="13"/>
      <c r="C44" s="14"/>
      <c r="D44" s="13"/>
      <c r="E44" s="15"/>
      <c r="F44" s="13"/>
      <c r="G44" s="13"/>
      <c r="H44" s="14"/>
      <c r="I44" s="2"/>
      <c r="J44" s="12"/>
      <c r="K44" s="13"/>
      <c r="L44" s="14"/>
      <c r="M44" s="13"/>
      <c r="N44" s="15"/>
      <c r="O44" s="13"/>
      <c r="P44" s="13"/>
      <c r="Q44" s="14"/>
    </row>
    <row r="45" customFormat="false" ht="15" hidden="false" customHeight="false" outlineLevel="0" collapsed="false">
      <c r="A45" s="12"/>
      <c r="B45" s="13"/>
      <c r="C45" s="14"/>
      <c r="D45" s="13"/>
      <c r="E45" s="15"/>
      <c r="F45" s="13"/>
      <c r="G45" s="13"/>
      <c r="H45" s="14"/>
      <c r="I45" s="2"/>
      <c r="J45" s="12"/>
      <c r="K45" s="13"/>
      <c r="L45" s="14"/>
      <c r="M45" s="13"/>
      <c r="N45" s="15"/>
      <c r="O45" s="13"/>
      <c r="P45" s="13"/>
      <c r="Q45" s="14"/>
    </row>
    <row r="46" customFormat="false" ht="15" hidden="false" customHeight="false" outlineLevel="0" collapsed="false">
      <c r="A46" s="12"/>
      <c r="B46" s="13"/>
      <c r="C46" s="14"/>
      <c r="D46" s="13"/>
      <c r="E46" s="15"/>
      <c r="F46" s="13"/>
      <c r="G46" s="13"/>
      <c r="H46" s="14"/>
      <c r="I46" s="2"/>
      <c r="J46" s="12"/>
      <c r="K46" s="13"/>
      <c r="L46" s="14"/>
      <c r="M46" s="13"/>
      <c r="N46" s="15"/>
      <c r="O46" s="13"/>
      <c r="P46" s="13"/>
      <c r="Q46" s="14"/>
    </row>
    <row r="47" customFormat="false" ht="15" hidden="false" customHeight="false" outlineLevel="0" collapsed="false">
      <c r="A47" s="12"/>
      <c r="B47" s="13"/>
      <c r="C47" s="14"/>
      <c r="D47" s="13"/>
      <c r="E47" s="15"/>
      <c r="F47" s="13"/>
      <c r="G47" s="13"/>
      <c r="H47" s="14"/>
      <c r="I47" s="2"/>
      <c r="J47" s="12"/>
      <c r="K47" s="13"/>
      <c r="L47" s="14"/>
      <c r="M47" s="13"/>
      <c r="N47" s="15"/>
      <c r="O47" s="13"/>
      <c r="P47" s="13"/>
      <c r="Q47" s="14"/>
    </row>
    <row r="48" customFormat="false" ht="15" hidden="false" customHeight="false" outlineLevel="0" collapsed="false">
      <c r="A48" s="12"/>
      <c r="B48" s="13"/>
      <c r="C48" s="14"/>
      <c r="D48" s="13"/>
      <c r="E48" s="15"/>
      <c r="F48" s="13"/>
      <c r="G48" s="13"/>
      <c r="H48" s="14"/>
      <c r="I48" s="2"/>
      <c r="J48" s="12"/>
      <c r="K48" s="13"/>
      <c r="L48" s="14"/>
      <c r="M48" s="13"/>
      <c r="N48" s="15"/>
      <c r="O48" s="13"/>
      <c r="P48" s="13"/>
      <c r="Q48" s="14"/>
    </row>
    <row r="49" customFormat="false" ht="15" hidden="false" customHeight="false" outlineLevel="0" collapsed="false">
      <c r="A49" s="16" t="s">
        <v>22</v>
      </c>
      <c r="B49" s="16"/>
      <c r="C49" s="17" t="n">
        <f aca="false">SUM(C9:C48)</f>
        <v>0</v>
      </c>
      <c r="D49" s="18"/>
      <c r="E49" s="18"/>
      <c r="F49" s="18"/>
      <c r="G49" s="18"/>
      <c r="H49" s="17" t="n">
        <f aca="false">SUM(H9:H48)</f>
        <v>0</v>
      </c>
      <c r="I49" s="2"/>
      <c r="J49" s="19" t="s">
        <v>22</v>
      </c>
      <c r="K49" s="19"/>
      <c r="L49" s="20" t="n">
        <f aca="false">SUM(L9:L48)</f>
        <v>0</v>
      </c>
      <c r="M49" s="21"/>
      <c r="N49" s="21"/>
      <c r="O49" s="21"/>
      <c r="P49" s="21"/>
      <c r="Q49" s="20" t="n">
        <f aca="false">SUM(Q9:Q48)</f>
        <v>0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customFormat="false" ht="15" hidden="false" customHeight="false" outlineLevel="0" collapsed="false">
      <c r="A51" s="22" t="s">
        <v>24</v>
      </c>
      <c r="B51" s="22"/>
      <c r="C51" s="22"/>
      <c r="D51" s="22"/>
      <c r="E51" s="22"/>
      <c r="F51" s="22"/>
      <c r="G51" s="22"/>
      <c r="H51" s="22"/>
      <c r="I51" s="2"/>
      <c r="J51" s="23" t="s">
        <v>25</v>
      </c>
      <c r="K51" s="23"/>
      <c r="L51" s="23"/>
      <c r="M51" s="23"/>
      <c r="N51" s="2"/>
      <c r="O51" s="2"/>
      <c r="P51" s="2"/>
      <c r="Q51" s="2"/>
    </row>
    <row r="52" customFormat="false" ht="15" hidden="false" customHeight="false" outlineLevel="0" collapsed="false">
      <c r="A52" s="22" t="s">
        <v>5</v>
      </c>
      <c r="B52" s="22" t="s">
        <v>26</v>
      </c>
      <c r="C52" s="22" t="s">
        <v>27</v>
      </c>
      <c r="D52" s="22"/>
      <c r="E52" s="22"/>
      <c r="F52" s="22"/>
      <c r="G52" s="22" t="s">
        <v>28</v>
      </c>
      <c r="H52" s="22"/>
      <c r="I52" s="2"/>
      <c r="J52" s="23" t="s">
        <v>29</v>
      </c>
      <c r="K52" s="23"/>
      <c r="L52" s="23"/>
      <c r="M52" s="23" t="s">
        <v>28</v>
      </c>
      <c r="N52" s="2"/>
      <c r="O52" s="2"/>
      <c r="P52" s="2"/>
      <c r="Q52" s="2"/>
    </row>
    <row r="53" customFormat="false" ht="15" hidden="false" customHeight="false" outlineLevel="0" collapsed="false">
      <c r="A53" s="12"/>
      <c r="B53" s="13"/>
      <c r="C53" s="13"/>
      <c r="D53" s="13"/>
      <c r="E53" s="13"/>
      <c r="F53" s="13"/>
      <c r="G53" s="14"/>
      <c r="H53" s="14"/>
      <c r="I53" s="2"/>
      <c r="J53" s="24" t="str">
        <f aca="false">設定!$B$5&amp;" 仕入れ合計"</f>
        <v>従業員A 仕入れ合計</v>
      </c>
      <c r="K53" s="24"/>
      <c r="L53" s="24"/>
      <c r="M53" s="25" t="n">
        <f aca="false">C49</f>
        <v>0</v>
      </c>
      <c r="N53" s="2"/>
      <c r="O53" s="2"/>
      <c r="P53" s="2"/>
      <c r="Q53" s="2"/>
    </row>
    <row r="54" customFormat="false" ht="15" hidden="false" customHeight="false" outlineLevel="0" collapsed="false">
      <c r="A54" s="12"/>
      <c r="B54" s="13"/>
      <c r="C54" s="13"/>
      <c r="D54" s="13"/>
      <c r="E54" s="13"/>
      <c r="F54" s="13"/>
      <c r="G54" s="14"/>
      <c r="H54" s="14"/>
      <c r="I54" s="2"/>
      <c r="J54" s="24" t="str">
        <f aca="false">設定!$B$5&amp;" 交通費合計"</f>
        <v>従業員A 交通費合計</v>
      </c>
      <c r="K54" s="24"/>
      <c r="L54" s="24"/>
      <c r="M54" s="25" t="n">
        <f aca="false">H49</f>
        <v>0</v>
      </c>
      <c r="N54" s="2"/>
      <c r="O54" s="2"/>
      <c r="P54" s="2"/>
      <c r="Q54" s="2"/>
    </row>
    <row r="55" customFormat="false" ht="15" hidden="false" customHeight="false" outlineLevel="0" collapsed="false">
      <c r="A55" s="12"/>
      <c r="B55" s="13"/>
      <c r="C55" s="13"/>
      <c r="D55" s="13"/>
      <c r="E55" s="13"/>
      <c r="F55" s="13"/>
      <c r="G55" s="14"/>
      <c r="H55" s="14"/>
      <c r="I55" s="2"/>
      <c r="J55" s="24" t="str">
        <f aca="false">設定!$B$5&amp;" 立替精算額（返金額）"</f>
        <v>従業員A 立替精算額（返金額）</v>
      </c>
      <c r="K55" s="24"/>
      <c r="L55" s="24"/>
      <c r="M55" s="25" t="n">
        <f aca="false">SUMIF(E9:E48,"○",C9:C48)+SUMIF(E9:E48,"○",H9:H48)</f>
        <v>0</v>
      </c>
      <c r="N55" s="2"/>
      <c r="O55" s="2"/>
      <c r="P55" s="2"/>
      <c r="Q55" s="2"/>
    </row>
    <row r="56" customFormat="false" ht="15" hidden="false" customHeight="false" outlineLevel="0" collapsed="false">
      <c r="A56" s="12"/>
      <c r="B56" s="13"/>
      <c r="C56" s="13"/>
      <c r="D56" s="13"/>
      <c r="E56" s="13"/>
      <c r="F56" s="13"/>
      <c r="G56" s="14"/>
      <c r="H56" s="14"/>
      <c r="I56" s="2"/>
      <c r="J56" s="24" t="str">
        <f aca="false">設定!$B$6&amp;" 仕入れ合計"</f>
        <v>従業員B 仕入れ合計</v>
      </c>
      <c r="K56" s="24"/>
      <c r="L56" s="24"/>
      <c r="M56" s="25" t="n">
        <f aca="false">L49</f>
        <v>0</v>
      </c>
      <c r="N56" s="2"/>
      <c r="O56" s="2"/>
      <c r="P56" s="2"/>
      <c r="Q56" s="2"/>
    </row>
    <row r="57" customFormat="false" ht="15" hidden="false" customHeight="false" outlineLevel="0" collapsed="false">
      <c r="A57" s="12"/>
      <c r="B57" s="13"/>
      <c r="C57" s="13"/>
      <c r="D57" s="13"/>
      <c r="E57" s="13"/>
      <c r="F57" s="13"/>
      <c r="G57" s="14"/>
      <c r="H57" s="14"/>
      <c r="I57" s="2"/>
      <c r="J57" s="24" t="str">
        <f aca="false">設定!$B$6&amp;" 交通費合計"</f>
        <v>従業員B 交通費合計</v>
      </c>
      <c r="K57" s="24"/>
      <c r="L57" s="24"/>
      <c r="M57" s="25" t="n">
        <f aca="false">Q49</f>
        <v>0</v>
      </c>
      <c r="N57" s="2"/>
      <c r="O57" s="2"/>
      <c r="P57" s="2"/>
      <c r="Q57" s="2"/>
    </row>
    <row r="58" customFormat="false" ht="15" hidden="false" customHeight="false" outlineLevel="0" collapsed="false">
      <c r="A58" s="12"/>
      <c r="B58" s="13"/>
      <c r="C58" s="13"/>
      <c r="D58" s="13"/>
      <c r="E58" s="13"/>
      <c r="F58" s="13"/>
      <c r="G58" s="14"/>
      <c r="H58" s="14"/>
      <c r="I58" s="2"/>
      <c r="J58" s="24" t="str">
        <f aca="false">設定!$B$6&amp;" 立替精算額（返金額）"</f>
        <v>従業員B 立替精算額（返金額）</v>
      </c>
      <c r="K58" s="24"/>
      <c r="L58" s="24"/>
      <c r="M58" s="25" t="n">
        <f aca="false">SUMIF(N9:N48,"○",L9:L48)+SUMIF(N9:N48,"○",Q9:Q48)</f>
        <v>0</v>
      </c>
      <c r="N58" s="2"/>
      <c r="O58" s="2"/>
      <c r="P58" s="2"/>
      <c r="Q58" s="2"/>
    </row>
    <row r="59" customFormat="false" ht="15" hidden="false" customHeight="false" outlineLevel="0" collapsed="false">
      <c r="A59" s="12"/>
      <c r="B59" s="13"/>
      <c r="C59" s="13"/>
      <c r="D59" s="13"/>
      <c r="E59" s="13"/>
      <c r="F59" s="13"/>
      <c r="G59" s="14"/>
      <c r="H59" s="14"/>
      <c r="I59" s="2"/>
      <c r="J59" s="24" t="str">
        <f aca="false">"共通経費　送料"</f>
        <v>共通経費　送料</v>
      </c>
      <c r="K59" s="24"/>
      <c r="L59" s="24"/>
      <c r="M59" s="25" t="n">
        <f aca="false">SUMIF(B53:B60,"送料",G53:G60)</f>
        <v>0</v>
      </c>
      <c r="N59" s="2"/>
      <c r="O59" s="2"/>
      <c r="P59" s="2"/>
      <c r="Q59" s="2"/>
    </row>
    <row r="60" customFormat="false" ht="15" hidden="false" customHeight="false" outlineLevel="0" collapsed="false">
      <c r="A60" s="12"/>
      <c r="B60" s="13"/>
      <c r="C60" s="13"/>
      <c r="D60" s="13"/>
      <c r="E60" s="13"/>
      <c r="F60" s="13"/>
      <c r="G60" s="14"/>
      <c r="H60" s="14"/>
      <c r="I60" s="2"/>
      <c r="J60" s="24" t="str">
        <f aca="false">"共通経費　その他経費"</f>
        <v>共通経費　その他経費</v>
      </c>
      <c r="K60" s="24"/>
      <c r="L60" s="24"/>
      <c r="M60" s="25" t="n">
        <f aca="false">SUMIF(B53:B60,"その他経費",G53:G60)</f>
        <v>0</v>
      </c>
      <c r="N60" s="2"/>
      <c r="O60" s="2"/>
      <c r="P60" s="2"/>
      <c r="Q60" s="2"/>
    </row>
    <row r="61" customFormat="false" ht="15" hidden="false" customHeight="false" outlineLevel="0" collapsed="false">
      <c r="A61" s="26" t="s">
        <v>34</v>
      </c>
      <c r="B61" s="26"/>
      <c r="C61" s="26"/>
      <c r="D61" s="26"/>
      <c r="E61" s="26"/>
      <c r="F61" s="26"/>
      <c r="G61" s="27" t="n">
        <f aca="false">SUM(G53:G60)</f>
        <v>0</v>
      </c>
      <c r="H61" s="27"/>
      <c r="I61" s="2"/>
      <c r="J61" s="28" t="s">
        <v>35</v>
      </c>
      <c r="K61" s="28"/>
      <c r="L61" s="28"/>
      <c r="M61" s="29" t="n">
        <f aca="false">M53+M54+M56+M57+G61</f>
        <v>0</v>
      </c>
      <c r="N61" s="2"/>
      <c r="O61" s="2"/>
      <c r="P61" s="2"/>
      <c r="Q61" s="2"/>
    </row>
  </sheetData>
  <mergeCells count="36">
    <mergeCell ref="A7:H7"/>
    <mergeCell ref="J7:Q7"/>
    <mergeCell ref="A49:B49"/>
    <mergeCell ref="J49:K49"/>
    <mergeCell ref="A51:H51"/>
    <mergeCell ref="J51:M51"/>
    <mergeCell ref="C52:F52"/>
    <mergeCell ref="G52:H52"/>
    <mergeCell ref="J52:L52"/>
    <mergeCell ref="C53:F53"/>
    <mergeCell ref="G53:H53"/>
    <mergeCell ref="J53:L53"/>
    <mergeCell ref="C54:F54"/>
    <mergeCell ref="G54:H54"/>
    <mergeCell ref="J54:L54"/>
    <mergeCell ref="C55:F55"/>
    <mergeCell ref="G55:H55"/>
    <mergeCell ref="J55:L55"/>
    <mergeCell ref="C56:F56"/>
    <mergeCell ref="G56:H56"/>
    <mergeCell ref="J56:L56"/>
    <mergeCell ref="C57:F57"/>
    <mergeCell ref="G57:H57"/>
    <mergeCell ref="J57:L57"/>
    <mergeCell ref="C58:F58"/>
    <mergeCell ref="G58:H58"/>
    <mergeCell ref="J58:L58"/>
    <mergeCell ref="C59:F59"/>
    <mergeCell ref="G59:H59"/>
    <mergeCell ref="J59:L59"/>
    <mergeCell ref="C60:F60"/>
    <mergeCell ref="G60:H60"/>
    <mergeCell ref="J60:L60"/>
    <mergeCell ref="A61:F61"/>
    <mergeCell ref="G61:H61"/>
    <mergeCell ref="J61:L61"/>
  </mergeCells>
  <dataValidations count="3">
    <dataValidation allowBlank="true" errorStyle="stop" operator="between" prompt="従業員が立て替えた行のみ ○ を入力してください。" promptTitle="立替" showDropDown="false" showErrorMessage="false" showInputMessage="false" sqref="E9:E48 N9:N48" type="list">
      <formula1>"○"</formula1>
      <formula2>0</formula2>
    </dataValidation>
    <dataValidation allowBlank="true" errorStyle="stop" operator="between" prompt="現金／クレジットカード等を選択してください。" promptTitle="支払方法" showDropDown="false" showErrorMessage="false" showInputMessage="false" sqref="D9:D48 M9:M48" type="list">
      <formula1>設定!$D$5:$D$10</formula1>
      <formula2>0</formula2>
    </dataValidation>
    <dataValidation allowBlank="true" errorStyle="stop" operator="between" prompt="送料／その他経費 を選択してください。" promptTitle="経費区分" showDropDown="false" showErrorMessage="false" showInputMessage="false" sqref="B53:B60" type="list">
      <formula1>設定!$F$5:$F$6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2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14"/>
    <col collapsed="false" customWidth="true" hidden="false" outlineLevel="0" max="14" min="14" style="0" width="6"/>
    <col collapsed="false" customWidth="true" hidden="false" outlineLevel="0" max="16" min="15" style="0" width="14"/>
    <col collapsed="false" customWidth="true" hidden="false" outlineLevel="0" max="17" min="17" style="0" width="12"/>
  </cols>
  <sheetData>
    <row r="1" customFormat="false" ht="19.4" hidden="false" customHeight="false" outlineLevel="0" collapsed="false">
      <c r="A1" s="1" t="s">
        <v>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4" t="str">
        <f aca="false">設定!$B$5</f>
        <v>従業員A</v>
      </c>
      <c r="B7" s="4"/>
      <c r="C7" s="4"/>
      <c r="D7" s="4"/>
      <c r="E7" s="4"/>
      <c r="F7" s="4"/>
      <c r="G7" s="4"/>
      <c r="H7" s="4"/>
      <c r="I7" s="2"/>
      <c r="J7" s="5" t="str">
        <f aca="false">設定!$B$6</f>
        <v>従業員B</v>
      </c>
      <c r="K7" s="5"/>
      <c r="L7" s="5"/>
      <c r="M7" s="5"/>
      <c r="N7" s="5"/>
      <c r="O7" s="5"/>
      <c r="P7" s="5"/>
      <c r="Q7" s="5"/>
    </row>
    <row r="8" customFormat="false" ht="31.5" hidden="false" customHeight="true" outlineLevel="0" collapsed="false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2"/>
      <c r="J8" s="7" t="s">
        <v>5</v>
      </c>
      <c r="K8" s="7" t="s">
        <v>6</v>
      </c>
      <c r="L8" s="7" t="s">
        <v>7</v>
      </c>
      <c r="M8" s="7" t="s">
        <v>8</v>
      </c>
      <c r="N8" s="7" t="s">
        <v>9</v>
      </c>
      <c r="O8" s="7" t="s">
        <v>10</v>
      </c>
      <c r="P8" s="7" t="s">
        <v>11</v>
      </c>
      <c r="Q8" s="7" t="s">
        <v>12</v>
      </c>
    </row>
    <row r="9" customFormat="false" ht="15" hidden="false" customHeight="false" outlineLevel="0" collapsed="false">
      <c r="A9" s="12"/>
      <c r="B9" s="13"/>
      <c r="C9" s="14"/>
      <c r="D9" s="13"/>
      <c r="E9" s="15"/>
      <c r="F9" s="13"/>
      <c r="G9" s="13"/>
      <c r="H9" s="14"/>
      <c r="I9" s="2"/>
      <c r="J9" s="12"/>
      <c r="K9" s="13"/>
      <c r="L9" s="14"/>
      <c r="M9" s="13"/>
      <c r="N9" s="15"/>
      <c r="O9" s="13"/>
      <c r="P9" s="13"/>
      <c r="Q9" s="14"/>
    </row>
    <row r="10" customFormat="false" ht="15" hidden="false" customHeight="false" outlineLevel="0" collapsed="false">
      <c r="A10" s="12"/>
      <c r="B10" s="13"/>
      <c r="C10" s="14"/>
      <c r="D10" s="13"/>
      <c r="E10" s="15"/>
      <c r="F10" s="13"/>
      <c r="G10" s="13"/>
      <c r="H10" s="14"/>
      <c r="I10" s="2"/>
      <c r="J10" s="12"/>
      <c r="K10" s="13"/>
      <c r="L10" s="14"/>
      <c r="M10" s="13"/>
      <c r="N10" s="15"/>
      <c r="O10" s="13"/>
      <c r="P10" s="13"/>
      <c r="Q10" s="14"/>
    </row>
    <row r="11" customFormat="false" ht="15" hidden="false" customHeight="false" outlineLevel="0" collapsed="false">
      <c r="A11" s="12"/>
      <c r="B11" s="13"/>
      <c r="C11" s="14"/>
      <c r="D11" s="13"/>
      <c r="E11" s="15"/>
      <c r="F11" s="13"/>
      <c r="G11" s="13"/>
      <c r="H11" s="14"/>
      <c r="I11" s="2"/>
      <c r="J11" s="12"/>
      <c r="K11" s="13"/>
      <c r="L11" s="14"/>
      <c r="M11" s="13"/>
      <c r="N11" s="15"/>
      <c r="O11" s="13"/>
      <c r="P11" s="13"/>
      <c r="Q11" s="14"/>
    </row>
    <row r="12" customFormat="false" ht="15" hidden="false" customHeight="false" outlineLevel="0" collapsed="false">
      <c r="A12" s="12"/>
      <c r="B12" s="13"/>
      <c r="C12" s="14"/>
      <c r="D12" s="13"/>
      <c r="E12" s="15"/>
      <c r="F12" s="13"/>
      <c r="G12" s="13"/>
      <c r="H12" s="14"/>
      <c r="I12" s="2"/>
      <c r="J12" s="12"/>
      <c r="K12" s="13"/>
      <c r="L12" s="14"/>
      <c r="M12" s="13"/>
      <c r="N12" s="15"/>
      <c r="O12" s="13"/>
      <c r="P12" s="13"/>
      <c r="Q12" s="14"/>
    </row>
    <row r="13" customFormat="false" ht="15" hidden="false" customHeight="false" outlineLevel="0" collapsed="false">
      <c r="A13" s="12"/>
      <c r="B13" s="13"/>
      <c r="C13" s="14"/>
      <c r="D13" s="13"/>
      <c r="E13" s="15"/>
      <c r="F13" s="13"/>
      <c r="G13" s="13"/>
      <c r="H13" s="14"/>
      <c r="I13" s="2"/>
      <c r="J13" s="12"/>
      <c r="K13" s="13"/>
      <c r="L13" s="14"/>
      <c r="M13" s="13"/>
      <c r="N13" s="15"/>
      <c r="O13" s="13"/>
      <c r="P13" s="13"/>
      <c r="Q13" s="14"/>
    </row>
    <row r="14" customFormat="false" ht="15" hidden="false" customHeight="false" outlineLevel="0" collapsed="false">
      <c r="A14" s="12"/>
      <c r="B14" s="13"/>
      <c r="C14" s="14"/>
      <c r="D14" s="13"/>
      <c r="E14" s="15"/>
      <c r="F14" s="13"/>
      <c r="G14" s="13"/>
      <c r="H14" s="14"/>
      <c r="I14" s="2"/>
      <c r="J14" s="12"/>
      <c r="K14" s="13"/>
      <c r="L14" s="14"/>
      <c r="M14" s="13"/>
      <c r="N14" s="15"/>
      <c r="O14" s="13"/>
      <c r="P14" s="13"/>
      <c r="Q14" s="14"/>
    </row>
    <row r="15" customFormat="false" ht="15" hidden="false" customHeight="false" outlineLevel="0" collapsed="false">
      <c r="A15" s="12"/>
      <c r="B15" s="13"/>
      <c r="C15" s="14"/>
      <c r="D15" s="13"/>
      <c r="E15" s="15"/>
      <c r="F15" s="13"/>
      <c r="G15" s="13"/>
      <c r="H15" s="14"/>
      <c r="I15" s="2"/>
      <c r="J15" s="12"/>
      <c r="K15" s="13"/>
      <c r="L15" s="14"/>
      <c r="M15" s="13"/>
      <c r="N15" s="15"/>
      <c r="O15" s="13"/>
      <c r="P15" s="13"/>
      <c r="Q15" s="14"/>
    </row>
    <row r="16" customFormat="false" ht="15" hidden="false" customHeight="false" outlineLevel="0" collapsed="false">
      <c r="A16" s="12"/>
      <c r="B16" s="13"/>
      <c r="C16" s="14"/>
      <c r="D16" s="13"/>
      <c r="E16" s="15"/>
      <c r="F16" s="13"/>
      <c r="G16" s="13"/>
      <c r="H16" s="14"/>
      <c r="I16" s="2"/>
      <c r="J16" s="12"/>
      <c r="K16" s="13"/>
      <c r="L16" s="14"/>
      <c r="M16" s="13"/>
      <c r="N16" s="15"/>
      <c r="O16" s="13"/>
      <c r="P16" s="13"/>
      <c r="Q16" s="14"/>
    </row>
    <row r="17" customFormat="false" ht="15" hidden="false" customHeight="false" outlineLevel="0" collapsed="false">
      <c r="A17" s="12"/>
      <c r="B17" s="13"/>
      <c r="C17" s="14"/>
      <c r="D17" s="13"/>
      <c r="E17" s="15"/>
      <c r="F17" s="13"/>
      <c r="G17" s="13"/>
      <c r="H17" s="14"/>
      <c r="I17" s="2"/>
      <c r="J17" s="12"/>
      <c r="K17" s="13"/>
      <c r="L17" s="14"/>
      <c r="M17" s="13"/>
      <c r="N17" s="15"/>
      <c r="O17" s="13"/>
      <c r="P17" s="13"/>
      <c r="Q17" s="14"/>
    </row>
    <row r="18" customFormat="false" ht="15" hidden="false" customHeight="false" outlineLevel="0" collapsed="false">
      <c r="A18" s="12"/>
      <c r="B18" s="13"/>
      <c r="C18" s="14"/>
      <c r="D18" s="13"/>
      <c r="E18" s="15"/>
      <c r="F18" s="13"/>
      <c r="G18" s="13"/>
      <c r="H18" s="14"/>
      <c r="I18" s="2"/>
      <c r="J18" s="12"/>
      <c r="K18" s="13"/>
      <c r="L18" s="14"/>
      <c r="M18" s="13"/>
      <c r="N18" s="15"/>
      <c r="O18" s="13"/>
      <c r="P18" s="13"/>
      <c r="Q18" s="14"/>
    </row>
    <row r="19" customFormat="false" ht="15" hidden="false" customHeight="false" outlineLevel="0" collapsed="false">
      <c r="A19" s="12"/>
      <c r="B19" s="13"/>
      <c r="C19" s="14"/>
      <c r="D19" s="13"/>
      <c r="E19" s="15"/>
      <c r="F19" s="13"/>
      <c r="G19" s="13"/>
      <c r="H19" s="14"/>
      <c r="I19" s="2"/>
      <c r="J19" s="12"/>
      <c r="K19" s="13"/>
      <c r="L19" s="14"/>
      <c r="M19" s="13"/>
      <c r="N19" s="15"/>
      <c r="O19" s="13"/>
      <c r="P19" s="13"/>
      <c r="Q19" s="14"/>
    </row>
    <row r="20" customFormat="false" ht="15" hidden="false" customHeight="false" outlineLevel="0" collapsed="false">
      <c r="A20" s="12"/>
      <c r="B20" s="13"/>
      <c r="C20" s="14"/>
      <c r="D20" s="13"/>
      <c r="E20" s="15"/>
      <c r="F20" s="13"/>
      <c r="G20" s="13"/>
      <c r="H20" s="14"/>
      <c r="I20" s="2"/>
      <c r="J20" s="12"/>
      <c r="K20" s="13"/>
      <c r="L20" s="14"/>
      <c r="M20" s="13"/>
      <c r="N20" s="15"/>
      <c r="O20" s="13"/>
      <c r="P20" s="13"/>
      <c r="Q20" s="14"/>
    </row>
    <row r="21" customFormat="false" ht="15" hidden="false" customHeight="false" outlineLevel="0" collapsed="false">
      <c r="A21" s="12"/>
      <c r="B21" s="13"/>
      <c r="C21" s="14"/>
      <c r="D21" s="13"/>
      <c r="E21" s="15"/>
      <c r="F21" s="13"/>
      <c r="G21" s="13"/>
      <c r="H21" s="14"/>
      <c r="I21" s="2"/>
      <c r="J21" s="12"/>
      <c r="K21" s="13"/>
      <c r="L21" s="14"/>
      <c r="M21" s="13"/>
      <c r="N21" s="15"/>
      <c r="O21" s="13"/>
      <c r="P21" s="13"/>
      <c r="Q21" s="14"/>
    </row>
    <row r="22" customFormat="false" ht="15" hidden="false" customHeight="false" outlineLevel="0" collapsed="false">
      <c r="A22" s="12"/>
      <c r="B22" s="13"/>
      <c r="C22" s="14"/>
      <c r="D22" s="13"/>
      <c r="E22" s="15"/>
      <c r="F22" s="13"/>
      <c r="G22" s="13"/>
      <c r="H22" s="14"/>
      <c r="I22" s="2"/>
      <c r="J22" s="12"/>
      <c r="K22" s="13"/>
      <c r="L22" s="14"/>
      <c r="M22" s="13"/>
      <c r="N22" s="15"/>
      <c r="O22" s="13"/>
      <c r="P22" s="13"/>
      <c r="Q22" s="14"/>
    </row>
    <row r="23" customFormat="false" ht="15" hidden="false" customHeight="false" outlineLevel="0" collapsed="false">
      <c r="A23" s="12"/>
      <c r="B23" s="13"/>
      <c r="C23" s="14"/>
      <c r="D23" s="13"/>
      <c r="E23" s="15"/>
      <c r="F23" s="13"/>
      <c r="G23" s="13"/>
      <c r="H23" s="14"/>
      <c r="I23" s="2"/>
      <c r="J23" s="12"/>
      <c r="K23" s="13"/>
      <c r="L23" s="14"/>
      <c r="M23" s="13"/>
      <c r="N23" s="15"/>
      <c r="O23" s="13"/>
      <c r="P23" s="13"/>
      <c r="Q23" s="14"/>
    </row>
    <row r="24" customFormat="false" ht="15" hidden="false" customHeight="false" outlineLevel="0" collapsed="false">
      <c r="A24" s="12"/>
      <c r="B24" s="13"/>
      <c r="C24" s="14"/>
      <c r="D24" s="13"/>
      <c r="E24" s="15"/>
      <c r="F24" s="13"/>
      <c r="G24" s="13"/>
      <c r="H24" s="14"/>
      <c r="I24" s="2"/>
      <c r="J24" s="12"/>
      <c r="K24" s="13"/>
      <c r="L24" s="14"/>
      <c r="M24" s="13"/>
      <c r="N24" s="15"/>
      <c r="O24" s="13"/>
      <c r="P24" s="13"/>
      <c r="Q24" s="14"/>
    </row>
    <row r="25" customFormat="false" ht="15" hidden="false" customHeight="false" outlineLevel="0" collapsed="false">
      <c r="A25" s="12"/>
      <c r="B25" s="13"/>
      <c r="C25" s="14"/>
      <c r="D25" s="13"/>
      <c r="E25" s="15"/>
      <c r="F25" s="13"/>
      <c r="G25" s="13"/>
      <c r="H25" s="14"/>
      <c r="I25" s="2"/>
      <c r="J25" s="12"/>
      <c r="K25" s="13"/>
      <c r="L25" s="14"/>
      <c r="M25" s="13"/>
      <c r="N25" s="15"/>
      <c r="O25" s="13"/>
      <c r="P25" s="13"/>
      <c r="Q25" s="14"/>
    </row>
    <row r="26" customFormat="false" ht="15" hidden="false" customHeight="false" outlineLevel="0" collapsed="false">
      <c r="A26" s="12"/>
      <c r="B26" s="13"/>
      <c r="C26" s="14"/>
      <c r="D26" s="13"/>
      <c r="E26" s="15"/>
      <c r="F26" s="13"/>
      <c r="G26" s="13"/>
      <c r="H26" s="14"/>
      <c r="I26" s="2"/>
      <c r="J26" s="12"/>
      <c r="K26" s="13"/>
      <c r="L26" s="14"/>
      <c r="M26" s="13"/>
      <c r="N26" s="15"/>
      <c r="O26" s="13"/>
      <c r="P26" s="13"/>
      <c r="Q26" s="14"/>
    </row>
    <row r="27" customFormat="false" ht="15" hidden="false" customHeight="false" outlineLevel="0" collapsed="false">
      <c r="A27" s="12"/>
      <c r="B27" s="13"/>
      <c r="C27" s="14"/>
      <c r="D27" s="13"/>
      <c r="E27" s="15"/>
      <c r="F27" s="13"/>
      <c r="G27" s="13"/>
      <c r="H27" s="14"/>
      <c r="I27" s="2"/>
      <c r="J27" s="12"/>
      <c r="K27" s="13"/>
      <c r="L27" s="14"/>
      <c r="M27" s="13"/>
      <c r="N27" s="15"/>
      <c r="O27" s="13"/>
      <c r="P27" s="13"/>
      <c r="Q27" s="14"/>
    </row>
    <row r="28" customFormat="false" ht="15" hidden="false" customHeight="false" outlineLevel="0" collapsed="false">
      <c r="A28" s="12"/>
      <c r="B28" s="13"/>
      <c r="C28" s="14"/>
      <c r="D28" s="13"/>
      <c r="E28" s="15"/>
      <c r="F28" s="13"/>
      <c r="G28" s="13"/>
      <c r="H28" s="14"/>
      <c r="I28" s="2"/>
      <c r="J28" s="12"/>
      <c r="K28" s="13"/>
      <c r="L28" s="14"/>
      <c r="M28" s="13"/>
      <c r="N28" s="15"/>
      <c r="O28" s="13"/>
      <c r="P28" s="13"/>
      <c r="Q28" s="14"/>
    </row>
    <row r="29" customFormat="false" ht="15" hidden="false" customHeight="false" outlineLevel="0" collapsed="false">
      <c r="A29" s="12"/>
      <c r="B29" s="13"/>
      <c r="C29" s="14"/>
      <c r="D29" s="13"/>
      <c r="E29" s="15"/>
      <c r="F29" s="13"/>
      <c r="G29" s="13"/>
      <c r="H29" s="14"/>
      <c r="I29" s="2"/>
      <c r="J29" s="12"/>
      <c r="K29" s="13"/>
      <c r="L29" s="14"/>
      <c r="M29" s="13"/>
      <c r="N29" s="15"/>
      <c r="O29" s="13"/>
      <c r="P29" s="13"/>
      <c r="Q29" s="14"/>
    </row>
    <row r="30" customFormat="false" ht="15" hidden="false" customHeight="false" outlineLevel="0" collapsed="false">
      <c r="A30" s="12"/>
      <c r="B30" s="13"/>
      <c r="C30" s="14"/>
      <c r="D30" s="13"/>
      <c r="E30" s="15"/>
      <c r="F30" s="13"/>
      <c r="G30" s="13"/>
      <c r="H30" s="14"/>
      <c r="I30" s="2"/>
      <c r="J30" s="12"/>
      <c r="K30" s="13"/>
      <c r="L30" s="14"/>
      <c r="M30" s="13"/>
      <c r="N30" s="15"/>
      <c r="O30" s="13"/>
      <c r="P30" s="13"/>
      <c r="Q30" s="14"/>
    </row>
    <row r="31" customFormat="false" ht="15" hidden="false" customHeight="false" outlineLevel="0" collapsed="false">
      <c r="A31" s="12"/>
      <c r="B31" s="13"/>
      <c r="C31" s="14"/>
      <c r="D31" s="13"/>
      <c r="E31" s="15"/>
      <c r="F31" s="13"/>
      <c r="G31" s="13"/>
      <c r="H31" s="14"/>
      <c r="I31" s="2"/>
      <c r="J31" s="12"/>
      <c r="K31" s="13"/>
      <c r="L31" s="14"/>
      <c r="M31" s="13"/>
      <c r="N31" s="15"/>
      <c r="O31" s="13"/>
      <c r="P31" s="13"/>
      <c r="Q31" s="14"/>
    </row>
    <row r="32" customFormat="false" ht="15" hidden="false" customHeight="false" outlineLevel="0" collapsed="false">
      <c r="A32" s="12"/>
      <c r="B32" s="13"/>
      <c r="C32" s="14"/>
      <c r="D32" s="13"/>
      <c r="E32" s="15"/>
      <c r="F32" s="13"/>
      <c r="G32" s="13"/>
      <c r="H32" s="14"/>
      <c r="I32" s="2"/>
      <c r="J32" s="12"/>
      <c r="K32" s="13"/>
      <c r="L32" s="14"/>
      <c r="M32" s="13"/>
      <c r="N32" s="15"/>
      <c r="O32" s="13"/>
      <c r="P32" s="13"/>
      <c r="Q32" s="14"/>
    </row>
    <row r="33" customFormat="false" ht="15" hidden="false" customHeight="false" outlineLevel="0" collapsed="false">
      <c r="A33" s="12"/>
      <c r="B33" s="13"/>
      <c r="C33" s="14"/>
      <c r="D33" s="13"/>
      <c r="E33" s="15"/>
      <c r="F33" s="13"/>
      <c r="G33" s="13"/>
      <c r="H33" s="14"/>
      <c r="I33" s="2"/>
      <c r="J33" s="12"/>
      <c r="K33" s="13"/>
      <c r="L33" s="14"/>
      <c r="M33" s="13"/>
      <c r="N33" s="15"/>
      <c r="O33" s="13"/>
      <c r="P33" s="13"/>
      <c r="Q33" s="14"/>
    </row>
    <row r="34" customFormat="false" ht="15" hidden="false" customHeight="false" outlineLevel="0" collapsed="false">
      <c r="A34" s="12"/>
      <c r="B34" s="13"/>
      <c r="C34" s="14"/>
      <c r="D34" s="13"/>
      <c r="E34" s="15"/>
      <c r="F34" s="13"/>
      <c r="G34" s="13"/>
      <c r="H34" s="14"/>
      <c r="I34" s="2"/>
      <c r="J34" s="12"/>
      <c r="K34" s="13"/>
      <c r="L34" s="14"/>
      <c r="M34" s="13"/>
      <c r="N34" s="15"/>
      <c r="O34" s="13"/>
      <c r="P34" s="13"/>
      <c r="Q34" s="14"/>
    </row>
    <row r="35" customFormat="false" ht="15" hidden="false" customHeight="false" outlineLevel="0" collapsed="false">
      <c r="A35" s="12"/>
      <c r="B35" s="13"/>
      <c r="C35" s="14"/>
      <c r="D35" s="13"/>
      <c r="E35" s="15"/>
      <c r="F35" s="13"/>
      <c r="G35" s="13"/>
      <c r="H35" s="14"/>
      <c r="I35" s="2"/>
      <c r="J35" s="12"/>
      <c r="K35" s="13"/>
      <c r="L35" s="14"/>
      <c r="M35" s="13"/>
      <c r="N35" s="15"/>
      <c r="O35" s="13"/>
      <c r="P35" s="13"/>
      <c r="Q35" s="14"/>
    </row>
    <row r="36" customFormat="false" ht="15" hidden="false" customHeight="false" outlineLevel="0" collapsed="false">
      <c r="A36" s="12"/>
      <c r="B36" s="13"/>
      <c r="C36" s="14"/>
      <c r="D36" s="13"/>
      <c r="E36" s="15"/>
      <c r="F36" s="13"/>
      <c r="G36" s="13"/>
      <c r="H36" s="14"/>
      <c r="I36" s="2"/>
      <c r="J36" s="12"/>
      <c r="K36" s="13"/>
      <c r="L36" s="14"/>
      <c r="M36" s="13"/>
      <c r="N36" s="15"/>
      <c r="O36" s="13"/>
      <c r="P36" s="13"/>
      <c r="Q36" s="14"/>
    </row>
    <row r="37" customFormat="false" ht="15" hidden="false" customHeight="false" outlineLevel="0" collapsed="false">
      <c r="A37" s="12"/>
      <c r="B37" s="13"/>
      <c r="C37" s="14"/>
      <c r="D37" s="13"/>
      <c r="E37" s="15"/>
      <c r="F37" s="13"/>
      <c r="G37" s="13"/>
      <c r="H37" s="14"/>
      <c r="I37" s="2"/>
      <c r="J37" s="12"/>
      <c r="K37" s="13"/>
      <c r="L37" s="14"/>
      <c r="M37" s="13"/>
      <c r="N37" s="15"/>
      <c r="O37" s="13"/>
      <c r="P37" s="13"/>
      <c r="Q37" s="14"/>
    </row>
    <row r="38" customFormat="false" ht="15" hidden="false" customHeight="false" outlineLevel="0" collapsed="false">
      <c r="A38" s="12"/>
      <c r="B38" s="13"/>
      <c r="C38" s="14"/>
      <c r="D38" s="13"/>
      <c r="E38" s="15"/>
      <c r="F38" s="13"/>
      <c r="G38" s="13"/>
      <c r="H38" s="14"/>
      <c r="I38" s="2"/>
      <c r="J38" s="12"/>
      <c r="K38" s="13"/>
      <c r="L38" s="14"/>
      <c r="M38" s="13"/>
      <c r="N38" s="15"/>
      <c r="O38" s="13"/>
      <c r="P38" s="13"/>
      <c r="Q38" s="14"/>
    </row>
    <row r="39" customFormat="false" ht="15" hidden="false" customHeight="false" outlineLevel="0" collapsed="false">
      <c r="A39" s="12"/>
      <c r="B39" s="13"/>
      <c r="C39" s="14"/>
      <c r="D39" s="13"/>
      <c r="E39" s="15"/>
      <c r="F39" s="13"/>
      <c r="G39" s="13"/>
      <c r="H39" s="14"/>
      <c r="I39" s="2"/>
      <c r="J39" s="12"/>
      <c r="K39" s="13"/>
      <c r="L39" s="14"/>
      <c r="M39" s="13"/>
      <c r="N39" s="15"/>
      <c r="O39" s="13"/>
      <c r="P39" s="13"/>
      <c r="Q39" s="14"/>
    </row>
    <row r="40" customFormat="false" ht="15" hidden="false" customHeight="false" outlineLevel="0" collapsed="false">
      <c r="A40" s="12"/>
      <c r="B40" s="13"/>
      <c r="C40" s="14"/>
      <c r="D40" s="13"/>
      <c r="E40" s="15"/>
      <c r="F40" s="13"/>
      <c r="G40" s="13"/>
      <c r="H40" s="14"/>
      <c r="I40" s="2"/>
      <c r="J40" s="12"/>
      <c r="K40" s="13"/>
      <c r="L40" s="14"/>
      <c r="M40" s="13"/>
      <c r="N40" s="15"/>
      <c r="O40" s="13"/>
      <c r="P40" s="13"/>
      <c r="Q40" s="14"/>
    </row>
    <row r="41" customFormat="false" ht="15" hidden="false" customHeight="false" outlineLevel="0" collapsed="false">
      <c r="A41" s="12"/>
      <c r="B41" s="13"/>
      <c r="C41" s="14"/>
      <c r="D41" s="13"/>
      <c r="E41" s="15"/>
      <c r="F41" s="13"/>
      <c r="G41" s="13"/>
      <c r="H41" s="14"/>
      <c r="I41" s="2"/>
      <c r="J41" s="12"/>
      <c r="K41" s="13"/>
      <c r="L41" s="14"/>
      <c r="M41" s="13"/>
      <c r="N41" s="15"/>
      <c r="O41" s="13"/>
      <c r="P41" s="13"/>
      <c r="Q41" s="14"/>
    </row>
    <row r="42" customFormat="false" ht="15" hidden="false" customHeight="false" outlineLevel="0" collapsed="false">
      <c r="A42" s="12"/>
      <c r="B42" s="13"/>
      <c r="C42" s="14"/>
      <c r="D42" s="13"/>
      <c r="E42" s="15"/>
      <c r="F42" s="13"/>
      <c r="G42" s="13"/>
      <c r="H42" s="14"/>
      <c r="I42" s="2"/>
      <c r="J42" s="12"/>
      <c r="K42" s="13"/>
      <c r="L42" s="14"/>
      <c r="M42" s="13"/>
      <c r="N42" s="15"/>
      <c r="O42" s="13"/>
      <c r="P42" s="13"/>
      <c r="Q42" s="14"/>
    </row>
    <row r="43" customFormat="false" ht="15" hidden="false" customHeight="false" outlineLevel="0" collapsed="false">
      <c r="A43" s="12"/>
      <c r="B43" s="13"/>
      <c r="C43" s="14"/>
      <c r="D43" s="13"/>
      <c r="E43" s="15"/>
      <c r="F43" s="13"/>
      <c r="G43" s="13"/>
      <c r="H43" s="14"/>
      <c r="I43" s="2"/>
      <c r="J43" s="12"/>
      <c r="K43" s="13"/>
      <c r="L43" s="14"/>
      <c r="M43" s="13"/>
      <c r="N43" s="15"/>
      <c r="O43" s="13"/>
      <c r="P43" s="13"/>
      <c r="Q43" s="14"/>
    </row>
    <row r="44" customFormat="false" ht="15" hidden="false" customHeight="false" outlineLevel="0" collapsed="false">
      <c r="A44" s="12"/>
      <c r="B44" s="13"/>
      <c r="C44" s="14"/>
      <c r="D44" s="13"/>
      <c r="E44" s="15"/>
      <c r="F44" s="13"/>
      <c r="G44" s="13"/>
      <c r="H44" s="14"/>
      <c r="I44" s="2"/>
      <c r="J44" s="12"/>
      <c r="K44" s="13"/>
      <c r="L44" s="14"/>
      <c r="M44" s="13"/>
      <c r="N44" s="15"/>
      <c r="O44" s="13"/>
      <c r="P44" s="13"/>
      <c r="Q44" s="14"/>
    </row>
    <row r="45" customFormat="false" ht="15" hidden="false" customHeight="false" outlineLevel="0" collapsed="false">
      <c r="A45" s="12"/>
      <c r="B45" s="13"/>
      <c r="C45" s="14"/>
      <c r="D45" s="13"/>
      <c r="E45" s="15"/>
      <c r="F45" s="13"/>
      <c r="G45" s="13"/>
      <c r="H45" s="14"/>
      <c r="I45" s="2"/>
      <c r="J45" s="12"/>
      <c r="K45" s="13"/>
      <c r="L45" s="14"/>
      <c r="M45" s="13"/>
      <c r="N45" s="15"/>
      <c r="O45" s="13"/>
      <c r="P45" s="13"/>
      <c r="Q45" s="14"/>
    </row>
    <row r="46" customFormat="false" ht="15" hidden="false" customHeight="false" outlineLevel="0" collapsed="false">
      <c r="A46" s="12"/>
      <c r="B46" s="13"/>
      <c r="C46" s="14"/>
      <c r="D46" s="13"/>
      <c r="E46" s="15"/>
      <c r="F46" s="13"/>
      <c r="G46" s="13"/>
      <c r="H46" s="14"/>
      <c r="I46" s="2"/>
      <c r="J46" s="12"/>
      <c r="K46" s="13"/>
      <c r="L46" s="14"/>
      <c r="M46" s="13"/>
      <c r="N46" s="15"/>
      <c r="O46" s="13"/>
      <c r="P46" s="13"/>
      <c r="Q46" s="14"/>
    </row>
    <row r="47" customFormat="false" ht="15" hidden="false" customHeight="false" outlineLevel="0" collapsed="false">
      <c r="A47" s="12"/>
      <c r="B47" s="13"/>
      <c r="C47" s="14"/>
      <c r="D47" s="13"/>
      <c r="E47" s="15"/>
      <c r="F47" s="13"/>
      <c r="G47" s="13"/>
      <c r="H47" s="14"/>
      <c r="I47" s="2"/>
      <c r="J47" s="12"/>
      <c r="K47" s="13"/>
      <c r="L47" s="14"/>
      <c r="M47" s="13"/>
      <c r="N47" s="15"/>
      <c r="O47" s="13"/>
      <c r="P47" s="13"/>
      <c r="Q47" s="14"/>
    </row>
    <row r="48" customFormat="false" ht="15" hidden="false" customHeight="false" outlineLevel="0" collapsed="false">
      <c r="A48" s="12"/>
      <c r="B48" s="13"/>
      <c r="C48" s="14"/>
      <c r="D48" s="13"/>
      <c r="E48" s="15"/>
      <c r="F48" s="13"/>
      <c r="G48" s="13"/>
      <c r="H48" s="14"/>
      <c r="I48" s="2"/>
      <c r="J48" s="12"/>
      <c r="K48" s="13"/>
      <c r="L48" s="14"/>
      <c r="M48" s="13"/>
      <c r="N48" s="15"/>
      <c r="O48" s="13"/>
      <c r="P48" s="13"/>
      <c r="Q48" s="14"/>
    </row>
    <row r="49" customFormat="false" ht="15" hidden="false" customHeight="false" outlineLevel="0" collapsed="false">
      <c r="A49" s="16" t="s">
        <v>22</v>
      </c>
      <c r="B49" s="16"/>
      <c r="C49" s="17" t="n">
        <f aca="false">SUM(C9:C48)</f>
        <v>0</v>
      </c>
      <c r="D49" s="18"/>
      <c r="E49" s="18"/>
      <c r="F49" s="18"/>
      <c r="G49" s="18"/>
      <c r="H49" s="17" t="n">
        <f aca="false">SUM(H9:H48)</f>
        <v>0</v>
      </c>
      <c r="I49" s="2"/>
      <c r="J49" s="19" t="s">
        <v>22</v>
      </c>
      <c r="K49" s="19"/>
      <c r="L49" s="20" t="n">
        <f aca="false">SUM(L9:L48)</f>
        <v>0</v>
      </c>
      <c r="M49" s="21"/>
      <c r="N49" s="21"/>
      <c r="O49" s="21"/>
      <c r="P49" s="21"/>
      <c r="Q49" s="20" t="n">
        <f aca="false">SUM(Q9:Q48)</f>
        <v>0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customFormat="false" ht="15" hidden="false" customHeight="false" outlineLevel="0" collapsed="false">
      <c r="A51" s="22" t="s">
        <v>24</v>
      </c>
      <c r="B51" s="22"/>
      <c r="C51" s="22"/>
      <c r="D51" s="22"/>
      <c r="E51" s="22"/>
      <c r="F51" s="22"/>
      <c r="G51" s="22"/>
      <c r="H51" s="22"/>
      <c r="I51" s="2"/>
      <c r="J51" s="23" t="s">
        <v>25</v>
      </c>
      <c r="K51" s="23"/>
      <c r="L51" s="23"/>
      <c r="M51" s="23"/>
      <c r="N51" s="2"/>
      <c r="O51" s="2"/>
      <c r="P51" s="2"/>
      <c r="Q51" s="2"/>
    </row>
    <row r="52" customFormat="false" ht="15" hidden="false" customHeight="false" outlineLevel="0" collapsed="false">
      <c r="A52" s="22" t="s">
        <v>5</v>
      </c>
      <c r="B52" s="22" t="s">
        <v>26</v>
      </c>
      <c r="C52" s="22" t="s">
        <v>27</v>
      </c>
      <c r="D52" s="22"/>
      <c r="E52" s="22"/>
      <c r="F52" s="22"/>
      <c r="G52" s="22" t="s">
        <v>28</v>
      </c>
      <c r="H52" s="22"/>
      <c r="I52" s="2"/>
      <c r="J52" s="23" t="s">
        <v>29</v>
      </c>
      <c r="K52" s="23"/>
      <c r="L52" s="23"/>
      <c r="M52" s="23" t="s">
        <v>28</v>
      </c>
      <c r="N52" s="2"/>
      <c r="O52" s="2"/>
      <c r="P52" s="2"/>
      <c r="Q52" s="2"/>
    </row>
    <row r="53" customFormat="false" ht="15" hidden="false" customHeight="false" outlineLevel="0" collapsed="false">
      <c r="A53" s="12"/>
      <c r="B53" s="13"/>
      <c r="C53" s="13"/>
      <c r="D53" s="13"/>
      <c r="E53" s="13"/>
      <c r="F53" s="13"/>
      <c r="G53" s="14"/>
      <c r="H53" s="14"/>
      <c r="I53" s="2"/>
      <c r="J53" s="24" t="str">
        <f aca="false">設定!$B$5&amp;" 仕入れ合計"</f>
        <v>従業員A 仕入れ合計</v>
      </c>
      <c r="K53" s="24"/>
      <c r="L53" s="24"/>
      <c r="M53" s="25" t="n">
        <f aca="false">C49</f>
        <v>0</v>
      </c>
      <c r="N53" s="2"/>
      <c r="O53" s="2"/>
      <c r="P53" s="2"/>
      <c r="Q53" s="2"/>
    </row>
    <row r="54" customFormat="false" ht="15" hidden="false" customHeight="false" outlineLevel="0" collapsed="false">
      <c r="A54" s="12"/>
      <c r="B54" s="13"/>
      <c r="C54" s="13"/>
      <c r="D54" s="13"/>
      <c r="E54" s="13"/>
      <c r="F54" s="13"/>
      <c r="G54" s="14"/>
      <c r="H54" s="14"/>
      <c r="I54" s="2"/>
      <c r="J54" s="24" t="str">
        <f aca="false">設定!$B$5&amp;" 交通費合計"</f>
        <v>従業員A 交通費合計</v>
      </c>
      <c r="K54" s="24"/>
      <c r="L54" s="24"/>
      <c r="M54" s="25" t="n">
        <f aca="false">H49</f>
        <v>0</v>
      </c>
      <c r="N54" s="2"/>
      <c r="O54" s="2"/>
      <c r="P54" s="2"/>
      <c r="Q54" s="2"/>
    </row>
    <row r="55" customFormat="false" ht="15" hidden="false" customHeight="false" outlineLevel="0" collapsed="false">
      <c r="A55" s="12"/>
      <c r="B55" s="13"/>
      <c r="C55" s="13"/>
      <c r="D55" s="13"/>
      <c r="E55" s="13"/>
      <c r="F55" s="13"/>
      <c r="G55" s="14"/>
      <c r="H55" s="14"/>
      <c r="I55" s="2"/>
      <c r="J55" s="24" t="str">
        <f aca="false">設定!$B$5&amp;" 立替精算額（返金額）"</f>
        <v>従業員A 立替精算額（返金額）</v>
      </c>
      <c r="K55" s="24"/>
      <c r="L55" s="24"/>
      <c r="M55" s="25" t="n">
        <f aca="false">SUMIF(E9:E48,"○",C9:C48)+SUMIF(E9:E48,"○",H9:H48)</f>
        <v>0</v>
      </c>
      <c r="N55" s="2"/>
      <c r="O55" s="2"/>
      <c r="P55" s="2"/>
      <c r="Q55" s="2"/>
    </row>
    <row r="56" customFormat="false" ht="15" hidden="false" customHeight="false" outlineLevel="0" collapsed="false">
      <c r="A56" s="12"/>
      <c r="B56" s="13"/>
      <c r="C56" s="13"/>
      <c r="D56" s="13"/>
      <c r="E56" s="13"/>
      <c r="F56" s="13"/>
      <c r="G56" s="14"/>
      <c r="H56" s="14"/>
      <c r="I56" s="2"/>
      <c r="J56" s="24" t="str">
        <f aca="false">設定!$B$6&amp;" 仕入れ合計"</f>
        <v>従業員B 仕入れ合計</v>
      </c>
      <c r="K56" s="24"/>
      <c r="L56" s="24"/>
      <c r="M56" s="25" t="n">
        <f aca="false">L49</f>
        <v>0</v>
      </c>
      <c r="N56" s="2"/>
      <c r="O56" s="2"/>
      <c r="P56" s="2"/>
      <c r="Q56" s="2"/>
    </row>
    <row r="57" customFormat="false" ht="15" hidden="false" customHeight="false" outlineLevel="0" collapsed="false">
      <c r="A57" s="12"/>
      <c r="B57" s="13"/>
      <c r="C57" s="13"/>
      <c r="D57" s="13"/>
      <c r="E57" s="13"/>
      <c r="F57" s="13"/>
      <c r="G57" s="14"/>
      <c r="H57" s="14"/>
      <c r="I57" s="2"/>
      <c r="J57" s="24" t="str">
        <f aca="false">設定!$B$6&amp;" 交通費合計"</f>
        <v>従業員B 交通費合計</v>
      </c>
      <c r="K57" s="24"/>
      <c r="L57" s="24"/>
      <c r="M57" s="25" t="n">
        <f aca="false">Q49</f>
        <v>0</v>
      </c>
      <c r="N57" s="2"/>
      <c r="O57" s="2"/>
      <c r="P57" s="2"/>
      <c r="Q57" s="2"/>
    </row>
    <row r="58" customFormat="false" ht="15" hidden="false" customHeight="false" outlineLevel="0" collapsed="false">
      <c r="A58" s="12"/>
      <c r="B58" s="13"/>
      <c r="C58" s="13"/>
      <c r="D58" s="13"/>
      <c r="E58" s="13"/>
      <c r="F58" s="13"/>
      <c r="G58" s="14"/>
      <c r="H58" s="14"/>
      <c r="I58" s="2"/>
      <c r="J58" s="24" t="str">
        <f aca="false">設定!$B$6&amp;" 立替精算額（返金額）"</f>
        <v>従業員B 立替精算額（返金額）</v>
      </c>
      <c r="K58" s="24"/>
      <c r="L58" s="24"/>
      <c r="M58" s="25" t="n">
        <f aca="false">SUMIF(N9:N48,"○",L9:L48)+SUMIF(N9:N48,"○",Q9:Q48)</f>
        <v>0</v>
      </c>
      <c r="N58" s="2"/>
      <c r="O58" s="2"/>
      <c r="P58" s="2"/>
      <c r="Q58" s="2"/>
    </row>
    <row r="59" customFormat="false" ht="15" hidden="false" customHeight="false" outlineLevel="0" collapsed="false">
      <c r="A59" s="12"/>
      <c r="B59" s="13"/>
      <c r="C59" s="13"/>
      <c r="D59" s="13"/>
      <c r="E59" s="13"/>
      <c r="F59" s="13"/>
      <c r="G59" s="14"/>
      <c r="H59" s="14"/>
      <c r="I59" s="2"/>
      <c r="J59" s="24" t="str">
        <f aca="false">"共通経費　送料"</f>
        <v>共通経費　送料</v>
      </c>
      <c r="K59" s="24"/>
      <c r="L59" s="24"/>
      <c r="M59" s="25" t="n">
        <f aca="false">SUMIF(B53:B60,"送料",G53:G60)</f>
        <v>0</v>
      </c>
      <c r="N59" s="2"/>
      <c r="O59" s="2"/>
      <c r="P59" s="2"/>
      <c r="Q59" s="2"/>
    </row>
    <row r="60" customFormat="false" ht="15" hidden="false" customHeight="false" outlineLevel="0" collapsed="false">
      <c r="A60" s="12"/>
      <c r="B60" s="13"/>
      <c r="C60" s="13"/>
      <c r="D60" s="13"/>
      <c r="E60" s="13"/>
      <c r="F60" s="13"/>
      <c r="G60" s="14"/>
      <c r="H60" s="14"/>
      <c r="I60" s="2"/>
      <c r="J60" s="24" t="str">
        <f aca="false">"共通経費　その他経費"</f>
        <v>共通経費　その他経費</v>
      </c>
      <c r="K60" s="24"/>
      <c r="L60" s="24"/>
      <c r="M60" s="25" t="n">
        <f aca="false">SUMIF(B53:B60,"その他経費",G53:G60)</f>
        <v>0</v>
      </c>
      <c r="N60" s="2"/>
      <c r="O60" s="2"/>
      <c r="P60" s="2"/>
      <c r="Q60" s="2"/>
    </row>
    <row r="61" customFormat="false" ht="15" hidden="false" customHeight="false" outlineLevel="0" collapsed="false">
      <c r="A61" s="26" t="s">
        <v>34</v>
      </c>
      <c r="B61" s="26"/>
      <c r="C61" s="26"/>
      <c r="D61" s="26"/>
      <c r="E61" s="26"/>
      <c r="F61" s="26"/>
      <c r="G61" s="27" t="n">
        <f aca="false">SUM(G53:G60)</f>
        <v>0</v>
      </c>
      <c r="H61" s="27"/>
      <c r="I61" s="2"/>
      <c r="J61" s="28" t="s">
        <v>35</v>
      </c>
      <c r="K61" s="28"/>
      <c r="L61" s="28"/>
      <c r="M61" s="29" t="n">
        <f aca="false">M53+M54+M56+M57+G61</f>
        <v>0</v>
      </c>
      <c r="N61" s="2"/>
      <c r="O61" s="2"/>
      <c r="P61" s="2"/>
      <c r="Q61" s="2"/>
    </row>
  </sheetData>
  <mergeCells count="36">
    <mergeCell ref="A7:H7"/>
    <mergeCell ref="J7:Q7"/>
    <mergeCell ref="A49:B49"/>
    <mergeCell ref="J49:K49"/>
    <mergeCell ref="A51:H51"/>
    <mergeCell ref="J51:M51"/>
    <mergeCell ref="C52:F52"/>
    <mergeCell ref="G52:H52"/>
    <mergeCell ref="J52:L52"/>
    <mergeCell ref="C53:F53"/>
    <mergeCell ref="G53:H53"/>
    <mergeCell ref="J53:L53"/>
    <mergeCell ref="C54:F54"/>
    <mergeCell ref="G54:H54"/>
    <mergeCell ref="J54:L54"/>
    <mergeCell ref="C55:F55"/>
    <mergeCell ref="G55:H55"/>
    <mergeCell ref="J55:L55"/>
    <mergeCell ref="C56:F56"/>
    <mergeCell ref="G56:H56"/>
    <mergeCell ref="J56:L56"/>
    <mergeCell ref="C57:F57"/>
    <mergeCell ref="G57:H57"/>
    <mergeCell ref="J57:L57"/>
    <mergeCell ref="C58:F58"/>
    <mergeCell ref="G58:H58"/>
    <mergeCell ref="J58:L58"/>
    <mergeCell ref="C59:F59"/>
    <mergeCell ref="G59:H59"/>
    <mergeCell ref="J59:L59"/>
    <mergeCell ref="C60:F60"/>
    <mergeCell ref="G60:H60"/>
    <mergeCell ref="J60:L60"/>
    <mergeCell ref="A61:F61"/>
    <mergeCell ref="G61:H61"/>
    <mergeCell ref="J61:L61"/>
  </mergeCells>
  <dataValidations count="3">
    <dataValidation allowBlank="true" errorStyle="stop" operator="between" prompt="従業員が立て替えた行のみ ○ を入力してください。" promptTitle="立替" showDropDown="false" showErrorMessage="false" showInputMessage="false" sqref="E9:E48 N9:N48" type="list">
      <formula1>"○"</formula1>
      <formula2>0</formula2>
    </dataValidation>
    <dataValidation allowBlank="true" errorStyle="stop" operator="between" prompt="現金／クレジットカード等を選択してください。" promptTitle="支払方法" showDropDown="false" showErrorMessage="false" showInputMessage="false" sqref="D9:D48 M9:M48" type="list">
      <formula1>設定!$D$5:$D$10</formula1>
      <formula2>0</formula2>
    </dataValidation>
    <dataValidation allowBlank="true" errorStyle="stop" operator="between" prompt="送料／その他経費 を選択してください。" promptTitle="経費区分" showDropDown="false" showErrorMessage="false" showInputMessage="false" sqref="B53:B60" type="list">
      <formula1>設定!$F$5:$F$6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2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14"/>
    <col collapsed="false" customWidth="true" hidden="false" outlineLevel="0" max="14" min="14" style="0" width="6"/>
    <col collapsed="false" customWidth="true" hidden="false" outlineLevel="0" max="16" min="15" style="0" width="14"/>
    <col collapsed="false" customWidth="true" hidden="false" outlineLevel="0" max="17" min="17" style="0" width="12"/>
  </cols>
  <sheetData>
    <row r="1" customFormat="false" ht="19.4" hidden="false" customHeight="false" outlineLevel="0" collapsed="false">
      <c r="A1" s="1" t="s">
        <v>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4" t="str">
        <f aca="false">設定!$B$5</f>
        <v>従業員A</v>
      </c>
      <c r="B7" s="4"/>
      <c r="C7" s="4"/>
      <c r="D7" s="4"/>
      <c r="E7" s="4"/>
      <c r="F7" s="4"/>
      <c r="G7" s="4"/>
      <c r="H7" s="4"/>
      <c r="I7" s="2"/>
      <c r="J7" s="5" t="str">
        <f aca="false">設定!$B$6</f>
        <v>従業員B</v>
      </c>
      <c r="K7" s="5"/>
      <c r="L7" s="5"/>
      <c r="M7" s="5"/>
      <c r="N7" s="5"/>
      <c r="O7" s="5"/>
      <c r="P7" s="5"/>
      <c r="Q7" s="5"/>
    </row>
    <row r="8" customFormat="false" ht="31.5" hidden="false" customHeight="true" outlineLevel="0" collapsed="false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2"/>
      <c r="J8" s="7" t="s">
        <v>5</v>
      </c>
      <c r="K8" s="7" t="s">
        <v>6</v>
      </c>
      <c r="L8" s="7" t="s">
        <v>7</v>
      </c>
      <c r="M8" s="7" t="s">
        <v>8</v>
      </c>
      <c r="N8" s="7" t="s">
        <v>9</v>
      </c>
      <c r="O8" s="7" t="s">
        <v>10</v>
      </c>
      <c r="P8" s="7" t="s">
        <v>11</v>
      </c>
      <c r="Q8" s="7" t="s">
        <v>12</v>
      </c>
    </row>
    <row r="9" customFormat="false" ht="15" hidden="false" customHeight="false" outlineLevel="0" collapsed="false">
      <c r="A9" s="12"/>
      <c r="B9" s="13"/>
      <c r="C9" s="14"/>
      <c r="D9" s="13"/>
      <c r="E9" s="15"/>
      <c r="F9" s="13"/>
      <c r="G9" s="13"/>
      <c r="H9" s="14"/>
      <c r="I9" s="2"/>
      <c r="J9" s="12"/>
      <c r="K9" s="13"/>
      <c r="L9" s="14"/>
      <c r="M9" s="13"/>
      <c r="N9" s="15"/>
      <c r="O9" s="13"/>
      <c r="P9" s="13"/>
      <c r="Q9" s="14"/>
    </row>
    <row r="10" customFormat="false" ht="15" hidden="false" customHeight="false" outlineLevel="0" collapsed="false">
      <c r="A10" s="12"/>
      <c r="B10" s="13"/>
      <c r="C10" s="14"/>
      <c r="D10" s="13"/>
      <c r="E10" s="15"/>
      <c r="F10" s="13"/>
      <c r="G10" s="13"/>
      <c r="H10" s="14"/>
      <c r="I10" s="2"/>
      <c r="J10" s="12"/>
      <c r="K10" s="13"/>
      <c r="L10" s="14"/>
      <c r="M10" s="13"/>
      <c r="N10" s="15"/>
      <c r="O10" s="13"/>
      <c r="P10" s="13"/>
      <c r="Q10" s="14"/>
    </row>
    <row r="11" customFormat="false" ht="15" hidden="false" customHeight="false" outlineLevel="0" collapsed="false">
      <c r="A11" s="12"/>
      <c r="B11" s="13"/>
      <c r="C11" s="14"/>
      <c r="D11" s="13"/>
      <c r="E11" s="15"/>
      <c r="F11" s="13"/>
      <c r="G11" s="13"/>
      <c r="H11" s="14"/>
      <c r="I11" s="2"/>
      <c r="J11" s="12"/>
      <c r="K11" s="13"/>
      <c r="L11" s="14"/>
      <c r="M11" s="13"/>
      <c r="N11" s="15"/>
      <c r="O11" s="13"/>
      <c r="P11" s="13"/>
      <c r="Q11" s="14"/>
    </row>
    <row r="12" customFormat="false" ht="15" hidden="false" customHeight="false" outlineLevel="0" collapsed="false">
      <c r="A12" s="12"/>
      <c r="B12" s="13"/>
      <c r="C12" s="14"/>
      <c r="D12" s="13"/>
      <c r="E12" s="15"/>
      <c r="F12" s="13"/>
      <c r="G12" s="13"/>
      <c r="H12" s="14"/>
      <c r="I12" s="2"/>
      <c r="J12" s="12"/>
      <c r="K12" s="13"/>
      <c r="L12" s="14"/>
      <c r="M12" s="13"/>
      <c r="N12" s="15"/>
      <c r="O12" s="13"/>
      <c r="P12" s="13"/>
      <c r="Q12" s="14"/>
    </row>
    <row r="13" customFormat="false" ht="15" hidden="false" customHeight="false" outlineLevel="0" collapsed="false">
      <c r="A13" s="12"/>
      <c r="B13" s="13"/>
      <c r="C13" s="14"/>
      <c r="D13" s="13"/>
      <c r="E13" s="15"/>
      <c r="F13" s="13"/>
      <c r="G13" s="13"/>
      <c r="H13" s="14"/>
      <c r="I13" s="2"/>
      <c r="J13" s="12"/>
      <c r="K13" s="13"/>
      <c r="L13" s="14"/>
      <c r="M13" s="13"/>
      <c r="N13" s="15"/>
      <c r="O13" s="13"/>
      <c r="P13" s="13"/>
      <c r="Q13" s="14"/>
    </row>
    <row r="14" customFormat="false" ht="15" hidden="false" customHeight="false" outlineLevel="0" collapsed="false">
      <c r="A14" s="12"/>
      <c r="B14" s="13"/>
      <c r="C14" s="14"/>
      <c r="D14" s="13"/>
      <c r="E14" s="15"/>
      <c r="F14" s="13"/>
      <c r="G14" s="13"/>
      <c r="H14" s="14"/>
      <c r="I14" s="2"/>
      <c r="J14" s="12"/>
      <c r="K14" s="13"/>
      <c r="L14" s="14"/>
      <c r="M14" s="13"/>
      <c r="N14" s="15"/>
      <c r="O14" s="13"/>
      <c r="P14" s="13"/>
      <c r="Q14" s="14"/>
    </row>
    <row r="15" customFormat="false" ht="15" hidden="false" customHeight="false" outlineLevel="0" collapsed="false">
      <c r="A15" s="12"/>
      <c r="B15" s="13"/>
      <c r="C15" s="14"/>
      <c r="D15" s="13"/>
      <c r="E15" s="15"/>
      <c r="F15" s="13"/>
      <c r="G15" s="13"/>
      <c r="H15" s="14"/>
      <c r="I15" s="2"/>
      <c r="J15" s="12"/>
      <c r="K15" s="13"/>
      <c r="L15" s="14"/>
      <c r="M15" s="13"/>
      <c r="N15" s="15"/>
      <c r="O15" s="13"/>
      <c r="P15" s="13"/>
      <c r="Q15" s="14"/>
    </row>
    <row r="16" customFormat="false" ht="15" hidden="false" customHeight="false" outlineLevel="0" collapsed="false">
      <c r="A16" s="12"/>
      <c r="B16" s="13"/>
      <c r="C16" s="14"/>
      <c r="D16" s="13"/>
      <c r="E16" s="15"/>
      <c r="F16" s="13"/>
      <c r="G16" s="13"/>
      <c r="H16" s="14"/>
      <c r="I16" s="2"/>
      <c r="J16" s="12"/>
      <c r="K16" s="13"/>
      <c r="L16" s="14"/>
      <c r="M16" s="13"/>
      <c r="N16" s="15"/>
      <c r="O16" s="13"/>
      <c r="P16" s="13"/>
      <c r="Q16" s="14"/>
    </row>
    <row r="17" customFormat="false" ht="15" hidden="false" customHeight="false" outlineLevel="0" collapsed="false">
      <c r="A17" s="12"/>
      <c r="B17" s="13"/>
      <c r="C17" s="14"/>
      <c r="D17" s="13"/>
      <c r="E17" s="15"/>
      <c r="F17" s="13"/>
      <c r="G17" s="13"/>
      <c r="H17" s="14"/>
      <c r="I17" s="2"/>
      <c r="J17" s="12"/>
      <c r="K17" s="13"/>
      <c r="L17" s="14"/>
      <c r="M17" s="13"/>
      <c r="N17" s="15"/>
      <c r="O17" s="13"/>
      <c r="P17" s="13"/>
      <c r="Q17" s="14"/>
    </row>
    <row r="18" customFormat="false" ht="15" hidden="false" customHeight="false" outlineLevel="0" collapsed="false">
      <c r="A18" s="12"/>
      <c r="B18" s="13"/>
      <c r="C18" s="14"/>
      <c r="D18" s="13"/>
      <c r="E18" s="15"/>
      <c r="F18" s="13"/>
      <c r="G18" s="13"/>
      <c r="H18" s="14"/>
      <c r="I18" s="2"/>
      <c r="J18" s="12"/>
      <c r="K18" s="13"/>
      <c r="L18" s="14"/>
      <c r="M18" s="13"/>
      <c r="N18" s="15"/>
      <c r="O18" s="13"/>
      <c r="P18" s="13"/>
      <c r="Q18" s="14"/>
    </row>
    <row r="19" customFormat="false" ht="15" hidden="false" customHeight="false" outlineLevel="0" collapsed="false">
      <c r="A19" s="12"/>
      <c r="B19" s="13"/>
      <c r="C19" s="14"/>
      <c r="D19" s="13"/>
      <c r="E19" s="15"/>
      <c r="F19" s="13"/>
      <c r="G19" s="13"/>
      <c r="H19" s="14"/>
      <c r="I19" s="2"/>
      <c r="J19" s="12"/>
      <c r="K19" s="13"/>
      <c r="L19" s="14"/>
      <c r="M19" s="13"/>
      <c r="N19" s="15"/>
      <c r="O19" s="13"/>
      <c r="P19" s="13"/>
      <c r="Q19" s="14"/>
    </row>
    <row r="20" customFormat="false" ht="15" hidden="false" customHeight="false" outlineLevel="0" collapsed="false">
      <c r="A20" s="12"/>
      <c r="B20" s="13"/>
      <c r="C20" s="14"/>
      <c r="D20" s="13"/>
      <c r="E20" s="15"/>
      <c r="F20" s="13"/>
      <c r="G20" s="13"/>
      <c r="H20" s="14"/>
      <c r="I20" s="2"/>
      <c r="J20" s="12"/>
      <c r="K20" s="13"/>
      <c r="L20" s="14"/>
      <c r="M20" s="13"/>
      <c r="N20" s="15"/>
      <c r="O20" s="13"/>
      <c r="P20" s="13"/>
      <c r="Q20" s="14"/>
    </row>
    <row r="21" customFormat="false" ht="15" hidden="false" customHeight="false" outlineLevel="0" collapsed="false">
      <c r="A21" s="12"/>
      <c r="B21" s="13"/>
      <c r="C21" s="14"/>
      <c r="D21" s="13"/>
      <c r="E21" s="15"/>
      <c r="F21" s="13"/>
      <c r="G21" s="13"/>
      <c r="H21" s="14"/>
      <c r="I21" s="2"/>
      <c r="J21" s="12"/>
      <c r="K21" s="13"/>
      <c r="L21" s="14"/>
      <c r="M21" s="13"/>
      <c r="N21" s="15"/>
      <c r="O21" s="13"/>
      <c r="P21" s="13"/>
      <c r="Q21" s="14"/>
    </row>
    <row r="22" customFormat="false" ht="15" hidden="false" customHeight="false" outlineLevel="0" collapsed="false">
      <c r="A22" s="12"/>
      <c r="B22" s="13"/>
      <c r="C22" s="14"/>
      <c r="D22" s="13"/>
      <c r="E22" s="15"/>
      <c r="F22" s="13"/>
      <c r="G22" s="13"/>
      <c r="H22" s="14"/>
      <c r="I22" s="2"/>
      <c r="J22" s="12"/>
      <c r="K22" s="13"/>
      <c r="L22" s="14"/>
      <c r="M22" s="13"/>
      <c r="N22" s="15"/>
      <c r="O22" s="13"/>
      <c r="P22" s="13"/>
      <c r="Q22" s="14"/>
    </row>
    <row r="23" customFormat="false" ht="15" hidden="false" customHeight="false" outlineLevel="0" collapsed="false">
      <c r="A23" s="12"/>
      <c r="B23" s="13"/>
      <c r="C23" s="14"/>
      <c r="D23" s="13"/>
      <c r="E23" s="15"/>
      <c r="F23" s="13"/>
      <c r="G23" s="13"/>
      <c r="H23" s="14"/>
      <c r="I23" s="2"/>
      <c r="J23" s="12"/>
      <c r="K23" s="13"/>
      <c r="L23" s="14"/>
      <c r="M23" s="13"/>
      <c r="N23" s="15"/>
      <c r="O23" s="13"/>
      <c r="P23" s="13"/>
      <c r="Q23" s="14"/>
    </row>
    <row r="24" customFormat="false" ht="15" hidden="false" customHeight="false" outlineLevel="0" collapsed="false">
      <c r="A24" s="12"/>
      <c r="B24" s="13"/>
      <c r="C24" s="14"/>
      <c r="D24" s="13"/>
      <c r="E24" s="15"/>
      <c r="F24" s="13"/>
      <c r="G24" s="13"/>
      <c r="H24" s="14"/>
      <c r="I24" s="2"/>
      <c r="J24" s="12"/>
      <c r="K24" s="13"/>
      <c r="L24" s="14"/>
      <c r="M24" s="13"/>
      <c r="N24" s="15"/>
      <c r="O24" s="13"/>
      <c r="P24" s="13"/>
      <c r="Q24" s="14"/>
    </row>
    <row r="25" customFormat="false" ht="15" hidden="false" customHeight="false" outlineLevel="0" collapsed="false">
      <c r="A25" s="12"/>
      <c r="B25" s="13"/>
      <c r="C25" s="14"/>
      <c r="D25" s="13"/>
      <c r="E25" s="15"/>
      <c r="F25" s="13"/>
      <c r="G25" s="13"/>
      <c r="H25" s="14"/>
      <c r="I25" s="2"/>
      <c r="J25" s="12"/>
      <c r="K25" s="13"/>
      <c r="L25" s="14"/>
      <c r="M25" s="13"/>
      <c r="N25" s="15"/>
      <c r="O25" s="13"/>
      <c r="P25" s="13"/>
      <c r="Q25" s="14"/>
    </row>
    <row r="26" customFormat="false" ht="15" hidden="false" customHeight="false" outlineLevel="0" collapsed="false">
      <c r="A26" s="12"/>
      <c r="B26" s="13"/>
      <c r="C26" s="14"/>
      <c r="D26" s="13"/>
      <c r="E26" s="15"/>
      <c r="F26" s="13"/>
      <c r="G26" s="13"/>
      <c r="H26" s="14"/>
      <c r="I26" s="2"/>
      <c r="J26" s="12"/>
      <c r="K26" s="13"/>
      <c r="L26" s="14"/>
      <c r="M26" s="13"/>
      <c r="N26" s="15"/>
      <c r="O26" s="13"/>
      <c r="P26" s="13"/>
      <c r="Q26" s="14"/>
    </row>
    <row r="27" customFormat="false" ht="15" hidden="false" customHeight="false" outlineLevel="0" collapsed="false">
      <c r="A27" s="12"/>
      <c r="B27" s="13"/>
      <c r="C27" s="14"/>
      <c r="D27" s="13"/>
      <c r="E27" s="15"/>
      <c r="F27" s="13"/>
      <c r="G27" s="13"/>
      <c r="H27" s="14"/>
      <c r="I27" s="2"/>
      <c r="J27" s="12"/>
      <c r="K27" s="13"/>
      <c r="L27" s="14"/>
      <c r="M27" s="13"/>
      <c r="N27" s="15"/>
      <c r="O27" s="13"/>
      <c r="P27" s="13"/>
      <c r="Q27" s="14"/>
    </row>
    <row r="28" customFormat="false" ht="15" hidden="false" customHeight="false" outlineLevel="0" collapsed="false">
      <c r="A28" s="12"/>
      <c r="B28" s="13"/>
      <c r="C28" s="14"/>
      <c r="D28" s="13"/>
      <c r="E28" s="15"/>
      <c r="F28" s="13"/>
      <c r="G28" s="13"/>
      <c r="H28" s="14"/>
      <c r="I28" s="2"/>
      <c r="J28" s="12"/>
      <c r="K28" s="13"/>
      <c r="L28" s="14"/>
      <c r="M28" s="13"/>
      <c r="N28" s="15"/>
      <c r="O28" s="13"/>
      <c r="P28" s="13"/>
      <c r="Q28" s="14"/>
    </row>
    <row r="29" customFormat="false" ht="15" hidden="false" customHeight="false" outlineLevel="0" collapsed="false">
      <c r="A29" s="12"/>
      <c r="B29" s="13"/>
      <c r="C29" s="14"/>
      <c r="D29" s="13"/>
      <c r="E29" s="15"/>
      <c r="F29" s="13"/>
      <c r="G29" s="13"/>
      <c r="H29" s="14"/>
      <c r="I29" s="2"/>
      <c r="J29" s="12"/>
      <c r="K29" s="13"/>
      <c r="L29" s="14"/>
      <c r="M29" s="13"/>
      <c r="N29" s="15"/>
      <c r="O29" s="13"/>
      <c r="P29" s="13"/>
      <c r="Q29" s="14"/>
    </row>
    <row r="30" customFormat="false" ht="15" hidden="false" customHeight="false" outlineLevel="0" collapsed="false">
      <c r="A30" s="12"/>
      <c r="B30" s="13"/>
      <c r="C30" s="14"/>
      <c r="D30" s="13"/>
      <c r="E30" s="15"/>
      <c r="F30" s="13"/>
      <c r="G30" s="13"/>
      <c r="H30" s="14"/>
      <c r="I30" s="2"/>
      <c r="J30" s="12"/>
      <c r="K30" s="13"/>
      <c r="L30" s="14"/>
      <c r="M30" s="13"/>
      <c r="N30" s="15"/>
      <c r="O30" s="13"/>
      <c r="P30" s="13"/>
      <c r="Q30" s="14"/>
    </row>
    <row r="31" customFormat="false" ht="15" hidden="false" customHeight="false" outlineLevel="0" collapsed="false">
      <c r="A31" s="12"/>
      <c r="B31" s="13"/>
      <c r="C31" s="14"/>
      <c r="D31" s="13"/>
      <c r="E31" s="15"/>
      <c r="F31" s="13"/>
      <c r="G31" s="13"/>
      <c r="H31" s="14"/>
      <c r="I31" s="2"/>
      <c r="J31" s="12"/>
      <c r="K31" s="13"/>
      <c r="L31" s="14"/>
      <c r="M31" s="13"/>
      <c r="N31" s="15"/>
      <c r="O31" s="13"/>
      <c r="P31" s="13"/>
      <c r="Q31" s="14"/>
    </row>
    <row r="32" customFormat="false" ht="15" hidden="false" customHeight="false" outlineLevel="0" collapsed="false">
      <c r="A32" s="12"/>
      <c r="B32" s="13"/>
      <c r="C32" s="14"/>
      <c r="D32" s="13"/>
      <c r="E32" s="15"/>
      <c r="F32" s="13"/>
      <c r="G32" s="13"/>
      <c r="H32" s="14"/>
      <c r="I32" s="2"/>
      <c r="J32" s="12"/>
      <c r="K32" s="13"/>
      <c r="L32" s="14"/>
      <c r="M32" s="13"/>
      <c r="N32" s="15"/>
      <c r="O32" s="13"/>
      <c r="P32" s="13"/>
      <c r="Q32" s="14"/>
    </row>
    <row r="33" customFormat="false" ht="15" hidden="false" customHeight="false" outlineLevel="0" collapsed="false">
      <c r="A33" s="12"/>
      <c r="B33" s="13"/>
      <c r="C33" s="14"/>
      <c r="D33" s="13"/>
      <c r="E33" s="15"/>
      <c r="F33" s="13"/>
      <c r="G33" s="13"/>
      <c r="H33" s="14"/>
      <c r="I33" s="2"/>
      <c r="J33" s="12"/>
      <c r="K33" s="13"/>
      <c r="L33" s="14"/>
      <c r="M33" s="13"/>
      <c r="N33" s="15"/>
      <c r="O33" s="13"/>
      <c r="P33" s="13"/>
      <c r="Q33" s="14"/>
    </row>
    <row r="34" customFormat="false" ht="15" hidden="false" customHeight="false" outlineLevel="0" collapsed="false">
      <c r="A34" s="12"/>
      <c r="B34" s="13"/>
      <c r="C34" s="14"/>
      <c r="D34" s="13"/>
      <c r="E34" s="15"/>
      <c r="F34" s="13"/>
      <c r="G34" s="13"/>
      <c r="H34" s="14"/>
      <c r="I34" s="2"/>
      <c r="J34" s="12"/>
      <c r="K34" s="13"/>
      <c r="L34" s="14"/>
      <c r="M34" s="13"/>
      <c r="N34" s="15"/>
      <c r="O34" s="13"/>
      <c r="P34" s="13"/>
      <c r="Q34" s="14"/>
    </row>
    <row r="35" customFormat="false" ht="15" hidden="false" customHeight="false" outlineLevel="0" collapsed="false">
      <c r="A35" s="12"/>
      <c r="B35" s="13"/>
      <c r="C35" s="14"/>
      <c r="D35" s="13"/>
      <c r="E35" s="15"/>
      <c r="F35" s="13"/>
      <c r="G35" s="13"/>
      <c r="H35" s="14"/>
      <c r="I35" s="2"/>
      <c r="J35" s="12"/>
      <c r="K35" s="13"/>
      <c r="L35" s="14"/>
      <c r="M35" s="13"/>
      <c r="N35" s="15"/>
      <c r="O35" s="13"/>
      <c r="P35" s="13"/>
      <c r="Q35" s="14"/>
    </row>
    <row r="36" customFormat="false" ht="15" hidden="false" customHeight="false" outlineLevel="0" collapsed="false">
      <c r="A36" s="12"/>
      <c r="B36" s="13"/>
      <c r="C36" s="14"/>
      <c r="D36" s="13"/>
      <c r="E36" s="15"/>
      <c r="F36" s="13"/>
      <c r="G36" s="13"/>
      <c r="H36" s="14"/>
      <c r="I36" s="2"/>
      <c r="J36" s="12"/>
      <c r="K36" s="13"/>
      <c r="L36" s="14"/>
      <c r="M36" s="13"/>
      <c r="N36" s="15"/>
      <c r="O36" s="13"/>
      <c r="P36" s="13"/>
      <c r="Q36" s="14"/>
    </row>
    <row r="37" customFormat="false" ht="15" hidden="false" customHeight="false" outlineLevel="0" collapsed="false">
      <c r="A37" s="12"/>
      <c r="B37" s="13"/>
      <c r="C37" s="14"/>
      <c r="D37" s="13"/>
      <c r="E37" s="15"/>
      <c r="F37" s="13"/>
      <c r="G37" s="13"/>
      <c r="H37" s="14"/>
      <c r="I37" s="2"/>
      <c r="J37" s="12"/>
      <c r="K37" s="13"/>
      <c r="L37" s="14"/>
      <c r="M37" s="13"/>
      <c r="N37" s="15"/>
      <c r="O37" s="13"/>
      <c r="P37" s="13"/>
      <c r="Q37" s="14"/>
    </row>
    <row r="38" customFormat="false" ht="15" hidden="false" customHeight="false" outlineLevel="0" collapsed="false">
      <c r="A38" s="12"/>
      <c r="B38" s="13"/>
      <c r="C38" s="14"/>
      <c r="D38" s="13"/>
      <c r="E38" s="15"/>
      <c r="F38" s="13"/>
      <c r="G38" s="13"/>
      <c r="H38" s="14"/>
      <c r="I38" s="2"/>
      <c r="J38" s="12"/>
      <c r="K38" s="13"/>
      <c r="L38" s="14"/>
      <c r="M38" s="13"/>
      <c r="N38" s="15"/>
      <c r="O38" s="13"/>
      <c r="P38" s="13"/>
      <c r="Q38" s="14"/>
    </row>
    <row r="39" customFormat="false" ht="15" hidden="false" customHeight="false" outlineLevel="0" collapsed="false">
      <c r="A39" s="12"/>
      <c r="B39" s="13"/>
      <c r="C39" s="14"/>
      <c r="D39" s="13"/>
      <c r="E39" s="15"/>
      <c r="F39" s="13"/>
      <c r="G39" s="13"/>
      <c r="H39" s="14"/>
      <c r="I39" s="2"/>
      <c r="J39" s="12"/>
      <c r="K39" s="13"/>
      <c r="L39" s="14"/>
      <c r="M39" s="13"/>
      <c r="N39" s="15"/>
      <c r="O39" s="13"/>
      <c r="P39" s="13"/>
      <c r="Q39" s="14"/>
    </row>
    <row r="40" customFormat="false" ht="15" hidden="false" customHeight="false" outlineLevel="0" collapsed="false">
      <c r="A40" s="12"/>
      <c r="B40" s="13"/>
      <c r="C40" s="14"/>
      <c r="D40" s="13"/>
      <c r="E40" s="15"/>
      <c r="F40" s="13"/>
      <c r="G40" s="13"/>
      <c r="H40" s="14"/>
      <c r="I40" s="2"/>
      <c r="J40" s="12"/>
      <c r="K40" s="13"/>
      <c r="L40" s="14"/>
      <c r="M40" s="13"/>
      <c r="N40" s="15"/>
      <c r="O40" s="13"/>
      <c r="P40" s="13"/>
      <c r="Q40" s="14"/>
    </row>
    <row r="41" customFormat="false" ht="15" hidden="false" customHeight="false" outlineLevel="0" collapsed="false">
      <c r="A41" s="12"/>
      <c r="B41" s="13"/>
      <c r="C41" s="14"/>
      <c r="D41" s="13"/>
      <c r="E41" s="15"/>
      <c r="F41" s="13"/>
      <c r="G41" s="13"/>
      <c r="H41" s="14"/>
      <c r="I41" s="2"/>
      <c r="J41" s="12"/>
      <c r="K41" s="13"/>
      <c r="L41" s="14"/>
      <c r="M41" s="13"/>
      <c r="N41" s="15"/>
      <c r="O41" s="13"/>
      <c r="P41" s="13"/>
      <c r="Q41" s="14"/>
    </row>
    <row r="42" customFormat="false" ht="15" hidden="false" customHeight="false" outlineLevel="0" collapsed="false">
      <c r="A42" s="12"/>
      <c r="B42" s="13"/>
      <c r="C42" s="14"/>
      <c r="D42" s="13"/>
      <c r="E42" s="15"/>
      <c r="F42" s="13"/>
      <c r="G42" s="13"/>
      <c r="H42" s="14"/>
      <c r="I42" s="2"/>
      <c r="J42" s="12"/>
      <c r="K42" s="13"/>
      <c r="L42" s="14"/>
      <c r="M42" s="13"/>
      <c r="N42" s="15"/>
      <c r="O42" s="13"/>
      <c r="P42" s="13"/>
      <c r="Q42" s="14"/>
    </row>
    <row r="43" customFormat="false" ht="15" hidden="false" customHeight="false" outlineLevel="0" collapsed="false">
      <c r="A43" s="12"/>
      <c r="B43" s="13"/>
      <c r="C43" s="14"/>
      <c r="D43" s="13"/>
      <c r="E43" s="15"/>
      <c r="F43" s="13"/>
      <c r="G43" s="13"/>
      <c r="H43" s="14"/>
      <c r="I43" s="2"/>
      <c r="J43" s="12"/>
      <c r="K43" s="13"/>
      <c r="L43" s="14"/>
      <c r="M43" s="13"/>
      <c r="N43" s="15"/>
      <c r="O43" s="13"/>
      <c r="P43" s="13"/>
      <c r="Q43" s="14"/>
    </row>
    <row r="44" customFormat="false" ht="15" hidden="false" customHeight="false" outlineLevel="0" collapsed="false">
      <c r="A44" s="12"/>
      <c r="B44" s="13"/>
      <c r="C44" s="14"/>
      <c r="D44" s="13"/>
      <c r="E44" s="15"/>
      <c r="F44" s="13"/>
      <c r="G44" s="13"/>
      <c r="H44" s="14"/>
      <c r="I44" s="2"/>
      <c r="J44" s="12"/>
      <c r="K44" s="13"/>
      <c r="L44" s="14"/>
      <c r="M44" s="13"/>
      <c r="N44" s="15"/>
      <c r="O44" s="13"/>
      <c r="P44" s="13"/>
      <c r="Q44" s="14"/>
    </row>
    <row r="45" customFormat="false" ht="15" hidden="false" customHeight="false" outlineLevel="0" collapsed="false">
      <c r="A45" s="12"/>
      <c r="B45" s="13"/>
      <c r="C45" s="14"/>
      <c r="D45" s="13"/>
      <c r="E45" s="15"/>
      <c r="F45" s="13"/>
      <c r="G45" s="13"/>
      <c r="H45" s="14"/>
      <c r="I45" s="2"/>
      <c r="J45" s="12"/>
      <c r="K45" s="13"/>
      <c r="L45" s="14"/>
      <c r="M45" s="13"/>
      <c r="N45" s="15"/>
      <c r="O45" s="13"/>
      <c r="P45" s="13"/>
      <c r="Q45" s="14"/>
    </row>
    <row r="46" customFormat="false" ht="15" hidden="false" customHeight="false" outlineLevel="0" collapsed="false">
      <c r="A46" s="12"/>
      <c r="B46" s="13"/>
      <c r="C46" s="14"/>
      <c r="D46" s="13"/>
      <c r="E46" s="15"/>
      <c r="F46" s="13"/>
      <c r="G46" s="13"/>
      <c r="H46" s="14"/>
      <c r="I46" s="2"/>
      <c r="J46" s="12"/>
      <c r="K46" s="13"/>
      <c r="L46" s="14"/>
      <c r="M46" s="13"/>
      <c r="N46" s="15"/>
      <c r="O46" s="13"/>
      <c r="P46" s="13"/>
      <c r="Q46" s="14"/>
    </row>
    <row r="47" customFormat="false" ht="15" hidden="false" customHeight="false" outlineLevel="0" collapsed="false">
      <c r="A47" s="12"/>
      <c r="B47" s="13"/>
      <c r="C47" s="14"/>
      <c r="D47" s="13"/>
      <c r="E47" s="15"/>
      <c r="F47" s="13"/>
      <c r="G47" s="13"/>
      <c r="H47" s="14"/>
      <c r="I47" s="2"/>
      <c r="J47" s="12"/>
      <c r="K47" s="13"/>
      <c r="L47" s="14"/>
      <c r="M47" s="13"/>
      <c r="N47" s="15"/>
      <c r="O47" s="13"/>
      <c r="P47" s="13"/>
      <c r="Q47" s="14"/>
    </row>
    <row r="48" customFormat="false" ht="15" hidden="false" customHeight="false" outlineLevel="0" collapsed="false">
      <c r="A48" s="12"/>
      <c r="B48" s="13"/>
      <c r="C48" s="14"/>
      <c r="D48" s="13"/>
      <c r="E48" s="15"/>
      <c r="F48" s="13"/>
      <c r="G48" s="13"/>
      <c r="H48" s="14"/>
      <c r="I48" s="2"/>
      <c r="J48" s="12"/>
      <c r="K48" s="13"/>
      <c r="L48" s="14"/>
      <c r="M48" s="13"/>
      <c r="N48" s="15"/>
      <c r="O48" s="13"/>
      <c r="P48" s="13"/>
      <c r="Q48" s="14"/>
    </row>
    <row r="49" customFormat="false" ht="15" hidden="false" customHeight="false" outlineLevel="0" collapsed="false">
      <c r="A49" s="16" t="s">
        <v>22</v>
      </c>
      <c r="B49" s="16"/>
      <c r="C49" s="17" t="n">
        <f aca="false">SUM(C9:C48)</f>
        <v>0</v>
      </c>
      <c r="D49" s="18"/>
      <c r="E49" s="18"/>
      <c r="F49" s="18"/>
      <c r="G49" s="18"/>
      <c r="H49" s="17" t="n">
        <f aca="false">SUM(H9:H48)</f>
        <v>0</v>
      </c>
      <c r="I49" s="2"/>
      <c r="J49" s="19" t="s">
        <v>22</v>
      </c>
      <c r="K49" s="19"/>
      <c r="L49" s="20" t="n">
        <f aca="false">SUM(L9:L48)</f>
        <v>0</v>
      </c>
      <c r="M49" s="21"/>
      <c r="N49" s="21"/>
      <c r="O49" s="21"/>
      <c r="P49" s="21"/>
      <c r="Q49" s="20" t="n">
        <f aca="false">SUM(Q9:Q48)</f>
        <v>0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customFormat="false" ht="15" hidden="false" customHeight="false" outlineLevel="0" collapsed="false">
      <c r="A51" s="22" t="s">
        <v>24</v>
      </c>
      <c r="B51" s="22"/>
      <c r="C51" s="22"/>
      <c r="D51" s="22"/>
      <c r="E51" s="22"/>
      <c r="F51" s="22"/>
      <c r="G51" s="22"/>
      <c r="H51" s="22"/>
      <c r="I51" s="2"/>
      <c r="J51" s="23" t="s">
        <v>25</v>
      </c>
      <c r="K51" s="23"/>
      <c r="L51" s="23"/>
      <c r="M51" s="23"/>
      <c r="N51" s="2"/>
      <c r="O51" s="2"/>
      <c r="P51" s="2"/>
      <c r="Q51" s="2"/>
    </row>
    <row r="52" customFormat="false" ht="15" hidden="false" customHeight="false" outlineLevel="0" collapsed="false">
      <c r="A52" s="22" t="s">
        <v>5</v>
      </c>
      <c r="B52" s="22" t="s">
        <v>26</v>
      </c>
      <c r="C52" s="22" t="s">
        <v>27</v>
      </c>
      <c r="D52" s="22"/>
      <c r="E52" s="22"/>
      <c r="F52" s="22"/>
      <c r="G52" s="22" t="s">
        <v>28</v>
      </c>
      <c r="H52" s="22"/>
      <c r="I52" s="2"/>
      <c r="J52" s="23" t="s">
        <v>29</v>
      </c>
      <c r="K52" s="23"/>
      <c r="L52" s="23"/>
      <c r="M52" s="23" t="s">
        <v>28</v>
      </c>
      <c r="N52" s="2"/>
      <c r="O52" s="2"/>
      <c r="P52" s="2"/>
      <c r="Q52" s="2"/>
    </row>
    <row r="53" customFormat="false" ht="15" hidden="false" customHeight="false" outlineLevel="0" collapsed="false">
      <c r="A53" s="12"/>
      <c r="B53" s="13"/>
      <c r="C53" s="13"/>
      <c r="D53" s="13"/>
      <c r="E53" s="13"/>
      <c r="F53" s="13"/>
      <c r="G53" s="14"/>
      <c r="H53" s="14"/>
      <c r="I53" s="2"/>
      <c r="J53" s="24" t="str">
        <f aca="false">設定!$B$5&amp;" 仕入れ合計"</f>
        <v>従業員A 仕入れ合計</v>
      </c>
      <c r="K53" s="24"/>
      <c r="L53" s="24"/>
      <c r="M53" s="25" t="n">
        <f aca="false">C49</f>
        <v>0</v>
      </c>
      <c r="N53" s="2"/>
      <c r="O53" s="2"/>
      <c r="P53" s="2"/>
      <c r="Q53" s="2"/>
    </row>
    <row r="54" customFormat="false" ht="15" hidden="false" customHeight="false" outlineLevel="0" collapsed="false">
      <c r="A54" s="12"/>
      <c r="B54" s="13"/>
      <c r="C54" s="13"/>
      <c r="D54" s="13"/>
      <c r="E54" s="13"/>
      <c r="F54" s="13"/>
      <c r="G54" s="14"/>
      <c r="H54" s="14"/>
      <c r="I54" s="2"/>
      <c r="J54" s="24" t="str">
        <f aca="false">設定!$B$5&amp;" 交通費合計"</f>
        <v>従業員A 交通費合計</v>
      </c>
      <c r="K54" s="24"/>
      <c r="L54" s="24"/>
      <c r="M54" s="25" t="n">
        <f aca="false">H49</f>
        <v>0</v>
      </c>
      <c r="N54" s="2"/>
      <c r="O54" s="2"/>
      <c r="P54" s="2"/>
      <c r="Q54" s="2"/>
    </row>
    <row r="55" customFormat="false" ht="15" hidden="false" customHeight="false" outlineLevel="0" collapsed="false">
      <c r="A55" s="12"/>
      <c r="B55" s="13"/>
      <c r="C55" s="13"/>
      <c r="D55" s="13"/>
      <c r="E55" s="13"/>
      <c r="F55" s="13"/>
      <c r="G55" s="14"/>
      <c r="H55" s="14"/>
      <c r="I55" s="2"/>
      <c r="J55" s="24" t="str">
        <f aca="false">設定!$B$5&amp;" 立替精算額（返金額）"</f>
        <v>従業員A 立替精算額（返金額）</v>
      </c>
      <c r="K55" s="24"/>
      <c r="L55" s="24"/>
      <c r="M55" s="25" t="n">
        <f aca="false">SUMIF(E9:E48,"○",C9:C48)+SUMIF(E9:E48,"○",H9:H48)</f>
        <v>0</v>
      </c>
      <c r="N55" s="2"/>
      <c r="O55" s="2"/>
      <c r="P55" s="2"/>
      <c r="Q55" s="2"/>
    </row>
    <row r="56" customFormat="false" ht="15" hidden="false" customHeight="false" outlineLevel="0" collapsed="false">
      <c r="A56" s="12"/>
      <c r="B56" s="13"/>
      <c r="C56" s="13"/>
      <c r="D56" s="13"/>
      <c r="E56" s="13"/>
      <c r="F56" s="13"/>
      <c r="G56" s="14"/>
      <c r="H56" s="14"/>
      <c r="I56" s="2"/>
      <c r="J56" s="24" t="str">
        <f aca="false">設定!$B$6&amp;" 仕入れ合計"</f>
        <v>従業員B 仕入れ合計</v>
      </c>
      <c r="K56" s="24"/>
      <c r="L56" s="24"/>
      <c r="M56" s="25" t="n">
        <f aca="false">L49</f>
        <v>0</v>
      </c>
      <c r="N56" s="2"/>
      <c r="O56" s="2"/>
      <c r="P56" s="2"/>
      <c r="Q56" s="2"/>
    </row>
    <row r="57" customFormat="false" ht="15" hidden="false" customHeight="false" outlineLevel="0" collapsed="false">
      <c r="A57" s="12"/>
      <c r="B57" s="13"/>
      <c r="C57" s="13"/>
      <c r="D57" s="13"/>
      <c r="E57" s="13"/>
      <c r="F57" s="13"/>
      <c r="G57" s="14"/>
      <c r="H57" s="14"/>
      <c r="I57" s="2"/>
      <c r="J57" s="24" t="str">
        <f aca="false">設定!$B$6&amp;" 交通費合計"</f>
        <v>従業員B 交通費合計</v>
      </c>
      <c r="K57" s="24"/>
      <c r="L57" s="24"/>
      <c r="M57" s="25" t="n">
        <f aca="false">Q49</f>
        <v>0</v>
      </c>
      <c r="N57" s="2"/>
      <c r="O57" s="2"/>
      <c r="P57" s="2"/>
      <c r="Q57" s="2"/>
    </row>
    <row r="58" customFormat="false" ht="15" hidden="false" customHeight="false" outlineLevel="0" collapsed="false">
      <c r="A58" s="12"/>
      <c r="B58" s="13"/>
      <c r="C58" s="13"/>
      <c r="D58" s="13"/>
      <c r="E58" s="13"/>
      <c r="F58" s="13"/>
      <c r="G58" s="14"/>
      <c r="H58" s="14"/>
      <c r="I58" s="2"/>
      <c r="J58" s="24" t="str">
        <f aca="false">設定!$B$6&amp;" 立替精算額（返金額）"</f>
        <v>従業員B 立替精算額（返金額）</v>
      </c>
      <c r="K58" s="24"/>
      <c r="L58" s="24"/>
      <c r="M58" s="25" t="n">
        <f aca="false">SUMIF(N9:N48,"○",L9:L48)+SUMIF(N9:N48,"○",Q9:Q48)</f>
        <v>0</v>
      </c>
      <c r="N58" s="2"/>
      <c r="O58" s="2"/>
      <c r="P58" s="2"/>
      <c r="Q58" s="2"/>
    </row>
    <row r="59" customFormat="false" ht="15" hidden="false" customHeight="false" outlineLevel="0" collapsed="false">
      <c r="A59" s="12"/>
      <c r="B59" s="13"/>
      <c r="C59" s="13"/>
      <c r="D59" s="13"/>
      <c r="E59" s="13"/>
      <c r="F59" s="13"/>
      <c r="G59" s="14"/>
      <c r="H59" s="14"/>
      <c r="I59" s="2"/>
      <c r="J59" s="24" t="str">
        <f aca="false">"共通経費　送料"</f>
        <v>共通経費　送料</v>
      </c>
      <c r="K59" s="24"/>
      <c r="L59" s="24"/>
      <c r="M59" s="25" t="n">
        <f aca="false">SUMIF(B53:B60,"送料",G53:G60)</f>
        <v>0</v>
      </c>
      <c r="N59" s="2"/>
      <c r="O59" s="2"/>
      <c r="P59" s="2"/>
      <c r="Q59" s="2"/>
    </row>
    <row r="60" customFormat="false" ht="15" hidden="false" customHeight="false" outlineLevel="0" collapsed="false">
      <c r="A60" s="12"/>
      <c r="B60" s="13"/>
      <c r="C60" s="13"/>
      <c r="D60" s="13"/>
      <c r="E60" s="13"/>
      <c r="F60" s="13"/>
      <c r="G60" s="14"/>
      <c r="H60" s="14"/>
      <c r="I60" s="2"/>
      <c r="J60" s="24" t="str">
        <f aca="false">"共通経費　その他経費"</f>
        <v>共通経費　その他経費</v>
      </c>
      <c r="K60" s="24"/>
      <c r="L60" s="24"/>
      <c r="M60" s="25" t="n">
        <f aca="false">SUMIF(B53:B60,"その他経費",G53:G60)</f>
        <v>0</v>
      </c>
      <c r="N60" s="2"/>
      <c r="O60" s="2"/>
      <c r="P60" s="2"/>
      <c r="Q60" s="2"/>
    </row>
    <row r="61" customFormat="false" ht="15" hidden="false" customHeight="false" outlineLevel="0" collapsed="false">
      <c r="A61" s="26" t="s">
        <v>34</v>
      </c>
      <c r="B61" s="26"/>
      <c r="C61" s="26"/>
      <c r="D61" s="26"/>
      <c r="E61" s="26"/>
      <c r="F61" s="26"/>
      <c r="G61" s="27" t="n">
        <f aca="false">SUM(G53:G60)</f>
        <v>0</v>
      </c>
      <c r="H61" s="27"/>
      <c r="I61" s="2"/>
      <c r="J61" s="28" t="s">
        <v>35</v>
      </c>
      <c r="K61" s="28"/>
      <c r="L61" s="28"/>
      <c r="M61" s="29" t="n">
        <f aca="false">M53+M54+M56+M57+G61</f>
        <v>0</v>
      </c>
      <c r="N61" s="2"/>
      <c r="O61" s="2"/>
      <c r="P61" s="2"/>
      <c r="Q61" s="2"/>
    </row>
  </sheetData>
  <mergeCells count="36">
    <mergeCell ref="A7:H7"/>
    <mergeCell ref="J7:Q7"/>
    <mergeCell ref="A49:B49"/>
    <mergeCell ref="J49:K49"/>
    <mergeCell ref="A51:H51"/>
    <mergeCell ref="J51:M51"/>
    <mergeCell ref="C52:F52"/>
    <mergeCell ref="G52:H52"/>
    <mergeCell ref="J52:L52"/>
    <mergeCell ref="C53:F53"/>
    <mergeCell ref="G53:H53"/>
    <mergeCell ref="J53:L53"/>
    <mergeCell ref="C54:F54"/>
    <mergeCell ref="G54:H54"/>
    <mergeCell ref="J54:L54"/>
    <mergeCell ref="C55:F55"/>
    <mergeCell ref="G55:H55"/>
    <mergeCell ref="J55:L55"/>
    <mergeCell ref="C56:F56"/>
    <mergeCell ref="G56:H56"/>
    <mergeCell ref="J56:L56"/>
    <mergeCell ref="C57:F57"/>
    <mergeCell ref="G57:H57"/>
    <mergeCell ref="J57:L57"/>
    <mergeCell ref="C58:F58"/>
    <mergeCell ref="G58:H58"/>
    <mergeCell ref="J58:L58"/>
    <mergeCell ref="C59:F59"/>
    <mergeCell ref="G59:H59"/>
    <mergeCell ref="J59:L59"/>
    <mergeCell ref="C60:F60"/>
    <mergeCell ref="G60:H60"/>
    <mergeCell ref="J60:L60"/>
    <mergeCell ref="A61:F61"/>
    <mergeCell ref="G61:H61"/>
    <mergeCell ref="J61:L61"/>
  </mergeCells>
  <dataValidations count="3">
    <dataValidation allowBlank="true" errorStyle="stop" operator="between" prompt="従業員が立て替えた行のみ ○ を入力してください。" promptTitle="立替" showDropDown="false" showErrorMessage="false" showInputMessage="false" sqref="E9:E48 N9:N48" type="list">
      <formula1>"○"</formula1>
      <formula2>0</formula2>
    </dataValidation>
    <dataValidation allowBlank="true" errorStyle="stop" operator="between" prompt="現金／クレジットカード等を選択してください。" promptTitle="支払方法" showDropDown="false" showErrorMessage="false" showInputMessage="false" sqref="D9:D48 M9:M48" type="list">
      <formula1>設定!$D$5:$D$10</formula1>
      <formula2>0</formula2>
    </dataValidation>
    <dataValidation allowBlank="true" errorStyle="stop" operator="between" prompt="送料／その他経費 を選択してください。" promptTitle="経費区分" showDropDown="false" showErrorMessage="false" showInputMessage="false" sqref="B53:B60" type="list">
      <formula1>設定!$F$5:$F$6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2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14"/>
    <col collapsed="false" customWidth="true" hidden="false" outlineLevel="0" max="14" min="14" style="0" width="6"/>
    <col collapsed="false" customWidth="true" hidden="false" outlineLevel="0" max="16" min="15" style="0" width="14"/>
    <col collapsed="false" customWidth="true" hidden="false" outlineLevel="0" max="17" min="17" style="0" width="12"/>
  </cols>
  <sheetData>
    <row r="1" customFormat="false" ht="19.4" hidden="false" customHeight="false" outlineLevel="0" collapsed="false">
      <c r="A1" s="1" t="s">
        <v>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4" t="str">
        <f aca="false">設定!$B$5</f>
        <v>従業員A</v>
      </c>
      <c r="B7" s="4"/>
      <c r="C7" s="4"/>
      <c r="D7" s="4"/>
      <c r="E7" s="4"/>
      <c r="F7" s="4"/>
      <c r="G7" s="4"/>
      <c r="H7" s="4"/>
      <c r="I7" s="2"/>
      <c r="J7" s="5" t="str">
        <f aca="false">設定!$B$6</f>
        <v>従業員B</v>
      </c>
      <c r="K7" s="5"/>
      <c r="L7" s="5"/>
      <c r="M7" s="5"/>
      <c r="N7" s="5"/>
      <c r="O7" s="5"/>
      <c r="P7" s="5"/>
      <c r="Q7" s="5"/>
    </row>
    <row r="8" customFormat="false" ht="31.5" hidden="false" customHeight="true" outlineLevel="0" collapsed="false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2"/>
      <c r="J8" s="7" t="s">
        <v>5</v>
      </c>
      <c r="K8" s="7" t="s">
        <v>6</v>
      </c>
      <c r="L8" s="7" t="s">
        <v>7</v>
      </c>
      <c r="M8" s="7" t="s">
        <v>8</v>
      </c>
      <c r="N8" s="7" t="s">
        <v>9</v>
      </c>
      <c r="O8" s="7" t="s">
        <v>10</v>
      </c>
      <c r="P8" s="7" t="s">
        <v>11</v>
      </c>
      <c r="Q8" s="7" t="s">
        <v>12</v>
      </c>
    </row>
    <row r="9" customFormat="false" ht="15" hidden="false" customHeight="false" outlineLevel="0" collapsed="false">
      <c r="A9" s="12"/>
      <c r="B9" s="13"/>
      <c r="C9" s="14"/>
      <c r="D9" s="13"/>
      <c r="E9" s="15"/>
      <c r="F9" s="13"/>
      <c r="G9" s="13"/>
      <c r="H9" s="14"/>
      <c r="I9" s="2"/>
      <c r="J9" s="12"/>
      <c r="K9" s="13"/>
      <c r="L9" s="14"/>
      <c r="M9" s="13"/>
      <c r="N9" s="15"/>
      <c r="O9" s="13"/>
      <c r="P9" s="13"/>
      <c r="Q9" s="14"/>
    </row>
    <row r="10" customFormat="false" ht="15" hidden="false" customHeight="false" outlineLevel="0" collapsed="false">
      <c r="A10" s="12"/>
      <c r="B10" s="13"/>
      <c r="C10" s="14"/>
      <c r="D10" s="13"/>
      <c r="E10" s="15"/>
      <c r="F10" s="13"/>
      <c r="G10" s="13"/>
      <c r="H10" s="14"/>
      <c r="I10" s="2"/>
      <c r="J10" s="12"/>
      <c r="K10" s="13"/>
      <c r="L10" s="14"/>
      <c r="M10" s="13"/>
      <c r="N10" s="15"/>
      <c r="O10" s="13"/>
      <c r="P10" s="13"/>
      <c r="Q10" s="14"/>
    </row>
    <row r="11" customFormat="false" ht="15" hidden="false" customHeight="false" outlineLevel="0" collapsed="false">
      <c r="A11" s="12"/>
      <c r="B11" s="13"/>
      <c r="C11" s="14"/>
      <c r="D11" s="13"/>
      <c r="E11" s="15"/>
      <c r="F11" s="13"/>
      <c r="G11" s="13"/>
      <c r="H11" s="14"/>
      <c r="I11" s="2"/>
      <c r="J11" s="12"/>
      <c r="K11" s="13"/>
      <c r="L11" s="14"/>
      <c r="M11" s="13"/>
      <c r="N11" s="15"/>
      <c r="O11" s="13"/>
      <c r="P11" s="13"/>
      <c r="Q11" s="14"/>
    </row>
    <row r="12" customFormat="false" ht="15" hidden="false" customHeight="false" outlineLevel="0" collapsed="false">
      <c r="A12" s="12"/>
      <c r="B12" s="13"/>
      <c r="C12" s="14"/>
      <c r="D12" s="13"/>
      <c r="E12" s="15"/>
      <c r="F12" s="13"/>
      <c r="G12" s="13"/>
      <c r="H12" s="14"/>
      <c r="I12" s="2"/>
      <c r="J12" s="12"/>
      <c r="K12" s="13"/>
      <c r="L12" s="14"/>
      <c r="M12" s="13"/>
      <c r="N12" s="15"/>
      <c r="O12" s="13"/>
      <c r="P12" s="13"/>
      <c r="Q12" s="14"/>
    </row>
    <row r="13" customFormat="false" ht="15" hidden="false" customHeight="false" outlineLevel="0" collapsed="false">
      <c r="A13" s="12"/>
      <c r="B13" s="13"/>
      <c r="C13" s="14"/>
      <c r="D13" s="13"/>
      <c r="E13" s="15"/>
      <c r="F13" s="13"/>
      <c r="G13" s="13"/>
      <c r="H13" s="14"/>
      <c r="I13" s="2"/>
      <c r="J13" s="12"/>
      <c r="K13" s="13"/>
      <c r="L13" s="14"/>
      <c r="M13" s="13"/>
      <c r="N13" s="15"/>
      <c r="O13" s="13"/>
      <c r="P13" s="13"/>
      <c r="Q13" s="14"/>
    </row>
    <row r="14" customFormat="false" ht="15" hidden="false" customHeight="false" outlineLevel="0" collapsed="false">
      <c r="A14" s="12"/>
      <c r="B14" s="13"/>
      <c r="C14" s="14"/>
      <c r="D14" s="13"/>
      <c r="E14" s="15"/>
      <c r="F14" s="13"/>
      <c r="G14" s="13"/>
      <c r="H14" s="14"/>
      <c r="I14" s="2"/>
      <c r="J14" s="12"/>
      <c r="K14" s="13"/>
      <c r="L14" s="14"/>
      <c r="M14" s="13"/>
      <c r="N14" s="15"/>
      <c r="O14" s="13"/>
      <c r="P14" s="13"/>
      <c r="Q14" s="14"/>
    </row>
    <row r="15" customFormat="false" ht="15" hidden="false" customHeight="false" outlineLevel="0" collapsed="false">
      <c r="A15" s="12"/>
      <c r="B15" s="13"/>
      <c r="C15" s="14"/>
      <c r="D15" s="13"/>
      <c r="E15" s="15"/>
      <c r="F15" s="13"/>
      <c r="G15" s="13"/>
      <c r="H15" s="14"/>
      <c r="I15" s="2"/>
      <c r="J15" s="12"/>
      <c r="K15" s="13"/>
      <c r="L15" s="14"/>
      <c r="M15" s="13"/>
      <c r="N15" s="15"/>
      <c r="O15" s="13"/>
      <c r="P15" s="13"/>
      <c r="Q15" s="14"/>
    </row>
    <row r="16" customFormat="false" ht="15" hidden="false" customHeight="false" outlineLevel="0" collapsed="false">
      <c r="A16" s="12"/>
      <c r="B16" s="13"/>
      <c r="C16" s="14"/>
      <c r="D16" s="13"/>
      <c r="E16" s="15"/>
      <c r="F16" s="13"/>
      <c r="G16" s="13"/>
      <c r="H16" s="14"/>
      <c r="I16" s="2"/>
      <c r="J16" s="12"/>
      <c r="K16" s="13"/>
      <c r="L16" s="14"/>
      <c r="M16" s="13"/>
      <c r="N16" s="15"/>
      <c r="O16" s="13"/>
      <c r="P16" s="13"/>
      <c r="Q16" s="14"/>
    </row>
    <row r="17" customFormat="false" ht="15" hidden="false" customHeight="false" outlineLevel="0" collapsed="false">
      <c r="A17" s="12"/>
      <c r="B17" s="13"/>
      <c r="C17" s="14"/>
      <c r="D17" s="13"/>
      <c r="E17" s="15"/>
      <c r="F17" s="13"/>
      <c r="G17" s="13"/>
      <c r="H17" s="14"/>
      <c r="I17" s="2"/>
      <c r="J17" s="12"/>
      <c r="K17" s="13"/>
      <c r="L17" s="14"/>
      <c r="M17" s="13"/>
      <c r="N17" s="15"/>
      <c r="O17" s="13"/>
      <c r="P17" s="13"/>
      <c r="Q17" s="14"/>
    </row>
    <row r="18" customFormat="false" ht="15" hidden="false" customHeight="false" outlineLevel="0" collapsed="false">
      <c r="A18" s="12"/>
      <c r="B18" s="13"/>
      <c r="C18" s="14"/>
      <c r="D18" s="13"/>
      <c r="E18" s="15"/>
      <c r="F18" s="13"/>
      <c r="G18" s="13"/>
      <c r="H18" s="14"/>
      <c r="I18" s="2"/>
      <c r="J18" s="12"/>
      <c r="K18" s="13"/>
      <c r="L18" s="14"/>
      <c r="M18" s="13"/>
      <c r="N18" s="15"/>
      <c r="O18" s="13"/>
      <c r="P18" s="13"/>
      <c r="Q18" s="14"/>
    </row>
    <row r="19" customFormat="false" ht="15" hidden="false" customHeight="false" outlineLevel="0" collapsed="false">
      <c r="A19" s="12"/>
      <c r="B19" s="13"/>
      <c r="C19" s="14"/>
      <c r="D19" s="13"/>
      <c r="E19" s="15"/>
      <c r="F19" s="13"/>
      <c r="G19" s="13"/>
      <c r="H19" s="14"/>
      <c r="I19" s="2"/>
      <c r="J19" s="12"/>
      <c r="K19" s="13"/>
      <c r="L19" s="14"/>
      <c r="M19" s="13"/>
      <c r="N19" s="15"/>
      <c r="O19" s="13"/>
      <c r="P19" s="13"/>
      <c r="Q19" s="14"/>
    </row>
    <row r="20" customFormat="false" ht="15" hidden="false" customHeight="false" outlineLevel="0" collapsed="false">
      <c r="A20" s="12"/>
      <c r="B20" s="13"/>
      <c r="C20" s="14"/>
      <c r="D20" s="13"/>
      <c r="E20" s="15"/>
      <c r="F20" s="13"/>
      <c r="G20" s="13"/>
      <c r="H20" s="14"/>
      <c r="I20" s="2"/>
      <c r="J20" s="12"/>
      <c r="K20" s="13"/>
      <c r="L20" s="14"/>
      <c r="M20" s="13"/>
      <c r="N20" s="15"/>
      <c r="O20" s="13"/>
      <c r="P20" s="13"/>
      <c r="Q20" s="14"/>
    </row>
    <row r="21" customFormat="false" ht="15" hidden="false" customHeight="false" outlineLevel="0" collapsed="false">
      <c r="A21" s="12"/>
      <c r="B21" s="13"/>
      <c r="C21" s="14"/>
      <c r="D21" s="13"/>
      <c r="E21" s="15"/>
      <c r="F21" s="13"/>
      <c r="G21" s="13"/>
      <c r="H21" s="14"/>
      <c r="I21" s="2"/>
      <c r="J21" s="12"/>
      <c r="K21" s="13"/>
      <c r="L21" s="14"/>
      <c r="M21" s="13"/>
      <c r="N21" s="15"/>
      <c r="O21" s="13"/>
      <c r="P21" s="13"/>
      <c r="Q21" s="14"/>
    </row>
    <row r="22" customFormat="false" ht="15" hidden="false" customHeight="false" outlineLevel="0" collapsed="false">
      <c r="A22" s="12"/>
      <c r="B22" s="13"/>
      <c r="C22" s="14"/>
      <c r="D22" s="13"/>
      <c r="E22" s="15"/>
      <c r="F22" s="13"/>
      <c r="G22" s="13"/>
      <c r="H22" s="14"/>
      <c r="I22" s="2"/>
      <c r="J22" s="12"/>
      <c r="K22" s="13"/>
      <c r="L22" s="14"/>
      <c r="M22" s="13"/>
      <c r="N22" s="15"/>
      <c r="O22" s="13"/>
      <c r="P22" s="13"/>
      <c r="Q22" s="14"/>
    </row>
    <row r="23" customFormat="false" ht="15" hidden="false" customHeight="false" outlineLevel="0" collapsed="false">
      <c r="A23" s="12"/>
      <c r="B23" s="13"/>
      <c r="C23" s="14"/>
      <c r="D23" s="13"/>
      <c r="E23" s="15"/>
      <c r="F23" s="13"/>
      <c r="G23" s="13"/>
      <c r="H23" s="14"/>
      <c r="I23" s="2"/>
      <c r="J23" s="12"/>
      <c r="K23" s="13"/>
      <c r="L23" s="14"/>
      <c r="M23" s="13"/>
      <c r="N23" s="15"/>
      <c r="O23" s="13"/>
      <c r="P23" s="13"/>
      <c r="Q23" s="14"/>
    </row>
    <row r="24" customFormat="false" ht="15" hidden="false" customHeight="false" outlineLevel="0" collapsed="false">
      <c r="A24" s="12"/>
      <c r="B24" s="13"/>
      <c r="C24" s="14"/>
      <c r="D24" s="13"/>
      <c r="E24" s="15"/>
      <c r="F24" s="13"/>
      <c r="G24" s="13"/>
      <c r="H24" s="14"/>
      <c r="I24" s="2"/>
      <c r="J24" s="12"/>
      <c r="K24" s="13"/>
      <c r="L24" s="14"/>
      <c r="M24" s="13"/>
      <c r="N24" s="15"/>
      <c r="O24" s="13"/>
      <c r="P24" s="13"/>
      <c r="Q24" s="14"/>
    </row>
    <row r="25" customFormat="false" ht="15" hidden="false" customHeight="false" outlineLevel="0" collapsed="false">
      <c r="A25" s="12"/>
      <c r="B25" s="13"/>
      <c r="C25" s="14"/>
      <c r="D25" s="13"/>
      <c r="E25" s="15"/>
      <c r="F25" s="13"/>
      <c r="G25" s="13"/>
      <c r="H25" s="14"/>
      <c r="I25" s="2"/>
      <c r="J25" s="12"/>
      <c r="K25" s="13"/>
      <c r="L25" s="14"/>
      <c r="M25" s="13"/>
      <c r="N25" s="15"/>
      <c r="O25" s="13"/>
      <c r="P25" s="13"/>
      <c r="Q25" s="14"/>
    </row>
    <row r="26" customFormat="false" ht="15" hidden="false" customHeight="false" outlineLevel="0" collapsed="false">
      <c r="A26" s="12"/>
      <c r="B26" s="13"/>
      <c r="C26" s="14"/>
      <c r="D26" s="13"/>
      <c r="E26" s="15"/>
      <c r="F26" s="13"/>
      <c r="G26" s="13"/>
      <c r="H26" s="14"/>
      <c r="I26" s="2"/>
      <c r="J26" s="12"/>
      <c r="K26" s="13"/>
      <c r="L26" s="14"/>
      <c r="M26" s="13"/>
      <c r="N26" s="15"/>
      <c r="O26" s="13"/>
      <c r="P26" s="13"/>
      <c r="Q26" s="14"/>
    </row>
    <row r="27" customFormat="false" ht="15" hidden="false" customHeight="false" outlineLevel="0" collapsed="false">
      <c r="A27" s="12"/>
      <c r="B27" s="13"/>
      <c r="C27" s="14"/>
      <c r="D27" s="13"/>
      <c r="E27" s="15"/>
      <c r="F27" s="13"/>
      <c r="G27" s="13"/>
      <c r="H27" s="14"/>
      <c r="I27" s="2"/>
      <c r="J27" s="12"/>
      <c r="K27" s="13"/>
      <c r="L27" s="14"/>
      <c r="M27" s="13"/>
      <c r="N27" s="15"/>
      <c r="O27" s="13"/>
      <c r="P27" s="13"/>
      <c r="Q27" s="14"/>
    </row>
    <row r="28" customFormat="false" ht="15" hidden="false" customHeight="false" outlineLevel="0" collapsed="false">
      <c r="A28" s="12"/>
      <c r="B28" s="13"/>
      <c r="C28" s="14"/>
      <c r="D28" s="13"/>
      <c r="E28" s="15"/>
      <c r="F28" s="13"/>
      <c r="G28" s="13"/>
      <c r="H28" s="14"/>
      <c r="I28" s="2"/>
      <c r="J28" s="12"/>
      <c r="K28" s="13"/>
      <c r="L28" s="14"/>
      <c r="M28" s="13"/>
      <c r="N28" s="15"/>
      <c r="O28" s="13"/>
      <c r="P28" s="13"/>
      <c r="Q28" s="14"/>
    </row>
    <row r="29" customFormat="false" ht="15" hidden="false" customHeight="false" outlineLevel="0" collapsed="false">
      <c r="A29" s="12"/>
      <c r="B29" s="13"/>
      <c r="C29" s="14"/>
      <c r="D29" s="13"/>
      <c r="E29" s="15"/>
      <c r="F29" s="13"/>
      <c r="G29" s="13"/>
      <c r="H29" s="14"/>
      <c r="I29" s="2"/>
      <c r="J29" s="12"/>
      <c r="K29" s="13"/>
      <c r="L29" s="14"/>
      <c r="M29" s="13"/>
      <c r="N29" s="15"/>
      <c r="O29" s="13"/>
      <c r="P29" s="13"/>
      <c r="Q29" s="14"/>
    </row>
    <row r="30" customFormat="false" ht="15" hidden="false" customHeight="false" outlineLevel="0" collapsed="false">
      <c r="A30" s="12"/>
      <c r="B30" s="13"/>
      <c r="C30" s="14"/>
      <c r="D30" s="13"/>
      <c r="E30" s="15"/>
      <c r="F30" s="13"/>
      <c r="G30" s="13"/>
      <c r="H30" s="14"/>
      <c r="I30" s="2"/>
      <c r="J30" s="12"/>
      <c r="K30" s="13"/>
      <c r="L30" s="14"/>
      <c r="M30" s="13"/>
      <c r="N30" s="15"/>
      <c r="O30" s="13"/>
      <c r="P30" s="13"/>
      <c r="Q30" s="14"/>
    </row>
    <row r="31" customFormat="false" ht="15" hidden="false" customHeight="false" outlineLevel="0" collapsed="false">
      <c r="A31" s="12"/>
      <c r="B31" s="13"/>
      <c r="C31" s="14"/>
      <c r="D31" s="13"/>
      <c r="E31" s="15"/>
      <c r="F31" s="13"/>
      <c r="G31" s="13"/>
      <c r="H31" s="14"/>
      <c r="I31" s="2"/>
      <c r="J31" s="12"/>
      <c r="K31" s="13"/>
      <c r="L31" s="14"/>
      <c r="M31" s="13"/>
      <c r="N31" s="15"/>
      <c r="O31" s="13"/>
      <c r="P31" s="13"/>
      <c r="Q31" s="14"/>
    </row>
    <row r="32" customFormat="false" ht="15" hidden="false" customHeight="false" outlineLevel="0" collapsed="false">
      <c r="A32" s="12"/>
      <c r="B32" s="13"/>
      <c r="C32" s="14"/>
      <c r="D32" s="13"/>
      <c r="E32" s="15"/>
      <c r="F32" s="13"/>
      <c r="G32" s="13"/>
      <c r="H32" s="14"/>
      <c r="I32" s="2"/>
      <c r="J32" s="12"/>
      <c r="K32" s="13"/>
      <c r="L32" s="14"/>
      <c r="M32" s="13"/>
      <c r="N32" s="15"/>
      <c r="O32" s="13"/>
      <c r="P32" s="13"/>
      <c r="Q32" s="14"/>
    </row>
    <row r="33" customFormat="false" ht="15" hidden="false" customHeight="false" outlineLevel="0" collapsed="false">
      <c r="A33" s="12"/>
      <c r="B33" s="13"/>
      <c r="C33" s="14"/>
      <c r="D33" s="13"/>
      <c r="E33" s="15"/>
      <c r="F33" s="13"/>
      <c r="G33" s="13"/>
      <c r="H33" s="14"/>
      <c r="I33" s="2"/>
      <c r="J33" s="12"/>
      <c r="K33" s="13"/>
      <c r="L33" s="14"/>
      <c r="M33" s="13"/>
      <c r="N33" s="15"/>
      <c r="O33" s="13"/>
      <c r="P33" s="13"/>
      <c r="Q33" s="14"/>
    </row>
    <row r="34" customFormat="false" ht="15" hidden="false" customHeight="false" outlineLevel="0" collapsed="false">
      <c r="A34" s="12"/>
      <c r="B34" s="13"/>
      <c r="C34" s="14"/>
      <c r="D34" s="13"/>
      <c r="E34" s="15"/>
      <c r="F34" s="13"/>
      <c r="G34" s="13"/>
      <c r="H34" s="14"/>
      <c r="I34" s="2"/>
      <c r="J34" s="12"/>
      <c r="K34" s="13"/>
      <c r="L34" s="14"/>
      <c r="M34" s="13"/>
      <c r="N34" s="15"/>
      <c r="O34" s="13"/>
      <c r="P34" s="13"/>
      <c r="Q34" s="14"/>
    </row>
    <row r="35" customFormat="false" ht="15" hidden="false" customHeight="false" outlineLevel="0" collapsed="false">
      <c r="A35" s="12"/>
      <c r="B35" s="13"/>
      <c r="C35" s="14"/>
      <c r="D35" s="13"/>
      <c r="E35" s="15"/>
      <c r="F35" s="13"/>
      <c r="G35" s="13"/>
      <c r="H35" s="14"/>
      <c r="I35" s="2"/>
      <c r="J35" s="12"/>
      <c r="K35" s="13"/>
      <c r="L35" s="14"/>
      <c r="M35" s="13"/>
      <c r="N35" s="15"/>
      <c r="O35" s="13"/>
      <c r="P35" s="13"/>
      <c r="Q35" s="14"/>
    </row>
    <row r="36" customFormat="false" ht="15" hidden="false" customHeight="false" outlineLevel="0" collapsed="false">
      <c r="A36" s="12"/>
      <c r="B36" s="13"/>
      <c r="C36" s="14"/>
      <c r="D36" s="13"/>
      <c r="E36" s="15"/>
      <c r="F36" s="13"/>
      <c r="G36" s="13"/>
      <c r="H36" s="14"/>
      <c r="I36" s="2"/>
      <c r="J36" s="12"/>
      <c r="K36" s="13"/>
      <c r="L36" s="14"/>
      <c r="M36" s="13"/>
      <c r="N36" s="15"/>
      <c r="O36" s="13"/>
      <c r="P36" s="13"/>
      <c r="Q36" s="14"/>
    </row>
    <row r="37" customFormat="false" ht="15" hidden="false" customHeight="false" outlineLevel="0" collapsed="false">
      <c r="A37" s="12"/>
      <c r="B37" s="13"/>
      <c r="C37" s="14"/>
      <c r="D37" s="13"/>
      <c r="E37" s="15"/>
      <c r="F37" s="13"/>
      <c r="G37" s="13"/>
      <c r="H37" s="14"/>
      <c r="I37" s="2"/>
      <c r="J37" s="12"/>
      <c r="K37" s="13"/>
      <c r="L37" s="14"/>
      <c r="M37" s="13"/>
      <c r="N37" s="15"/>
      <c r="O37" s="13"/>
      <c r="P37" s="13"/>
      <c r="Q37" s="14"/>
    </row>
    <row r="38" customFormat="false" ht="15" hidden="false" customHeight="false" outlineLevel="0" collapsed="false">
      <c r="A38" s="12"/>
      <c r="B38" s="13"/>
      <c r="C38" s="14"/>
      <c r="D38" s="13"/>
      <c r="E38" s="15"/>
      <c r="F38" s="13"/>
      <c r="G38" s="13"/>
      <c r="H38" s="14"/>
      <c r="I38" s="2"/>
      <c r="J38" s="12"/>
      <c r="K38" s="13"/>
      <c r="L38" s="14"/>
      <c r="M38" s="13"/>
      <c r="N38" s="15"/>
      <c r="O38" s="13"/>
      <c r="P38" s="13"/>
      <c r="Q38" s="14"/>
    </row>
    <row r="39" customFormat="false" ht="15" hidden="false" customHeight="false" outlineLevel="0" collapsed="false">
      <c r="A39" s="12"/>
      <c r="B39" s="13"/>
      <c r="C39" s="14"/>
      <c r="D39" s="13"/>
      <c r="E39" s="15"/>
      <c r="F39" s="13"/>
      <c r="G39" s="13"/>
      <c r="H39" s="14"/>
      <c r="I39" s="2"/>
      <c r="J39" s="12"/>
      <c r="K39" s="13"/>
      <c r="L39" s="14"/>
      <c r="M39" s="13"/>
      <c r="N39" s="15"/>
      <c r="O39" s="13"/>
      <c r="P39" s="13"/>
      <c r="Q39" s="14"/>
    </row>
    <row r="40" customFormat="false" ht="15" hidden="false" customHeight="false" outlineLevel="0" collapsed="false">
      <c r="A40" s="12"/>
      <c r="B40" s="13"/>
      <c r="C40" s="14"/>
      <c r="D40" s="13"/>
      <c r="E40" s="15"/>
      <c r="F40" s="13"/>
      <c r="G40" s="13"/>
      <c r="H40" s="14"/>
      <c r="I40" s="2"/>
      <c r="J40" s="12"/>
      <c r="K40" s="13"/>
      <c r="L40" s="14"/>
      <c r="M40" s="13"/>
      <c r="N40" s="15"/>
      <c r="O40" s="13"/>
      <c r="P40" s="13"/>
      <c r="Q40" s="14"/>
    </row>
    <row r="41" customFormat="false" ht="15" hidden="false" customHeight="false" outlineLevel="0" collapsed="false">
      <c r="A41" s="12"/>
      <c r="B41" s="13"/>
      <c r="C41" s="14"/>
      <c r="D41" s="13"/>
      <c r="E41" s="15"/>
      <c r="F41" s="13"/>
      <c r="G41" s="13"/>
      <c r="H41" s="14"/>
      <c r="I41" s="2"/>
      <c r="J41" s="12"/>
      <c r="K41" s="13"/>
      <c r="L41" s="14"/>
      <c r="M41" s="13"/>
      <c r="N41" s="15"/>
      <c r="O41" s="13"/>
      <c r="P41" s="13"/>
      <c r="Q41" s="14"/>
    </row>
    <row r="42" customFormat="false" ht="15" hidden="false" customHeight="false" outlineLevel="0" collapsed="false">
      <c r="A42" s="12"/>
      <c r="B42" s="13"/>
      <c r="C42" s="14"/>
      <c r="D42" s="13"/>
      <c r="E42" s="15"/>
      <c r="F42" s="13"/>
      <c r="G42" s="13"/>
      <c r="H42" s="14"/>
      <c r="I42" s="2"/>
      <c r="J42" s="12"/>
      <c r="K42" s="13"/>
      <c r="L42" s="14"/>
      <c r="M42" s="13"/>
      <c r="N42" s="15"/>
      <c r="O42" s="13"/>
      <c r="P42" s="13"/>
      <c r="Q42" s="14"/>
    </row>
    <row r="43" customFormat="false" ht="15" hidden="false" customHeight="false" outlineLevel="0" collapsed="false">
      <c r="A43" s="12"/>
      <c r="B43" s="13"/>
      <c r="C43" s="14"/>
      <c r="D43" s="13"/>
      <c r="E43" s="15"/>
      <c r="F43" s="13"/>
      <c r="G43" s="13"/>
      <c r="H43" s="14"/>
      <c r="I43" s="2"/>
      <c r="J43" s="12"/>
      <c r="K43" s="13"/>
      <c r="L43" s="14"/>
      <c r="M43" s="13"/>
      <c r="N43" s="15"/>
      <c r="O43" s="13"/>
      <c r="P43" s="13"/>
      <c r="Q43" s="14"/>
    </row>
    <row r="44" customFormat="false" ht="15" hidden="false" customHeight="false" outlineLevel="0" collapsed="false">
      <c r="A44" s="12"/>
      <c r="B44" s="13"/>
      <c r="C44" s="14"/>
      <c r="D44" s="13"/>
      <c r="E44" s="15"/>
      <c r="F44" s="13"/>
      <c r="G44" s="13"/>
      <c r="H44" s="14"/>
      <c r="I44" s="2"/>
      <c r="J44" s="12"/>
      <c r="K44" s="13"/>
      <c r="L44" s="14"/>
      <c r="M44" s="13"/>
      <c r="N44" s="15"/>
      <c r="O44" s="13"/>
      <c r="P44" s="13"/>
      <c r="Q44" s="14"/>
    </row>
    <row r="45" customFormat="false" ht="15" hidden="false" customHeight="false" outlineLevel="0" collapsed="false">
      <c r="A45" s="12"/>
      <c r="B45" s="13"/>
      <c r="C45" s="14"/>
      <c r="D45" s="13"/>
      <c r="E45" s="15"/>
      <c r="F45" s="13"/>
      <c r="G45" s="13"/>
      <c r="H45" s="14"/>
      <c r="I45" s="2"/>
      <c r="J45" s="12"/>
      <c r="K45" s="13"/>
      <c r="L45" s="14"/>
      <c r="M45" s="13"/>
      <c r="N45" s="15"/>
      <c r="O45" s="13"/>
      <c r="P45" s="13"/>
      <c r="Q45" s="14"/>
    </row>
    <row r="46" customFormat="false" ht="15" hidden="false" customHeight="false" outlineLevel="0" collapsed="false">
      <c r="A46" s="12"/>
      <c r="B46" s="13"/>
      <c r="C46" s="14"/>
      <c r="D46" s="13"/>
      <c r="E46" s="15"/>
      <c r="F46" s="13"/>
      <c r="G46" s="13"/>
      <c r="H46" s="14"/>
      <c r="I46" s="2"/>
      <c r="J46" s="12"/>
      <c r="K46" s="13"/>
      <c r="L46" s="14"/>
      <c r="M46" s="13"/>
      <c r="N46" s="15"/>
      <c r="O46" s="13"/>
      <c r="P46" s="13"/>
      <c r="Q46" s="14"/>
    </row>
    <row r="47" customFormat="false" ht="15" hidden="false" customHeight="false" outlineLevel="0" collapsed="false">
      <c r="A47" s="12"/>
      <c r="B47" s="13"/>
      <c r="C47" s="14"/>
      <c r="D47" s="13"/>
      <c r="E47" s="15"/>
      <c r="F47" s="13"/>
      <c r="G47" s="13"/>
      <c r="H47" s="14"/>
      <c r="I47" s="2"/>
      <c r="J47" s="12"/>
      <c r="K47" s="13"/>
      <c r="L47" s="14"/>
      <c r="M47" s="13"/>
      <c r="N47" s="15"/>
      <c r="O47" s="13"/>
      <c r="P47" s="13"/>
      <c r="Q47" s="14"/>
    </row>
    <row r="48" customFormat="false" ht="15" hidden="false" customHeight="false" outlineLevel="0" collapsed="false">
      <c r="A48" s="12"/>
      <c r="B48" s="13"/>
      <c r="C48" s="14"/>
      <c r="D48" s="13"/>
      <c r="E48" s="15"/>
      <c r="F48" s="13"/>
      <c r="G48" s="13"/>
      <c r="H48" s="14"/>
      <c r="I48" s="2"/>
      <c r="J48" s="12"/>
      <c r="K48" s="13"/>
      <c r="L48" s="14"/>
      <c r="M48" s="13"/>
      <c r="N48" s="15"/>
      <c r="O48" s="13"/>
      <c r="P48" s="13"/>
      <c r="Q48" s="14"/>
    </row>
    <row r="49" customFormat="false" ht="15" hidden="false" customHeight="false" outlineLevel="0" collapsed="false">
      <c r="A49" s="16" t="s">
        <v>22</v>
      </c>
      <c r="B49" s="16"/>
      <c r="C49" s="17" t="n">
        <f aca="false">SUM(C9:C48)</f>
        <v>0</v>
      </c>
      <c r="D49" s="18"/>
      <c r="E49" s="18"/>
      <c r="F49" s="18"/>
      <c r="G49" s="18"/>
      <c r="H49" s="17" t="n">
        <f aca="false">SUM(H9:H48)</f>
        <v>0</v>
      </c>
      <c r="I49" s="2"/>
      <c r="J49" s="19" t="s">
        <v>22</v>
      </c>
      <c r="K49" s="19"/>
      <c r="L49" s="20" t="n">
        <f aca="false">SUM(L9:L48)</f>
        <v>0</v>
      </c>
      <c r="M49" s="21"/>
      <c r="N49" s="21"/>
      <c r="O49" s="21"/>
      <c r="P49" s="21"/>
      <c r="Q49" s="20" t="n">
        <f aca="false">SUM(Q9:Q48)</f>
        <v>0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customFormat="false" ht="15" hidden="false" customHeight="false" outlineLevel="0" collapsed="false">
      <c r="A51" s="22" t="s">
        <v>24</v>
      </c>
      <c r="B51" s="22"/>
      <c r="C51" s="22"/>
      <c r="D51" s="22"/>
      <c r="E51" s="22"/>
      <c r="F51" s="22"/>
      <c r="G51" s="22"/>
      <c r="H51" s="22"/>
      <c r="I51" s="2"/>
      <c r="J51" s="23" t="s">
        <v>25</v>
      </c>
      <c r="K51" s="23"/>
      <c r="L51" s="23"/>
      <c r="M51" s="23"/>
      <c r="N51" s="2"/>
      <c r="O51" s="2"/>
      <c r="P51" s="2"/>
      <c r="Q51" s="2"/>
    </row>
    <row r="52" customFormat="false" ht="15" hidden="false" customHeight="false" outlineLevel="0" collapsed="false">
      <c r="A52" s="22" t="s">
        <v>5</v>
      </c>
      <c r="B52" s="22" t="s">
        <v>26</v>
      </c>
      <c r="C52" s="22" t="s">
        <v>27</v>
      </c>
      <c r="D52" s="22"/>
      <c r="E52" s="22"/>
      <c r="F52" s="22"/>
      <c r="G52" s="22" t="s">
        <v>28</v>
      </c>
      <c r="H52" s="22"/>
      <c r="I52" s="2"/>
      <c r="J52" s="23" t="s">
        <v>29</v>
      </c>
      <c r="K52" s="23"/>
      <c r="L52" s="23"/>
      <c r="M52" s="23" t="s">
        <v>28</v>
      </c>
      <c r="N52" s="2"/>
      <c r="O52" s="2"/>
      <c r="P52" s="2"/>
      <c r="Q52" s="2"/>
    </row>
    <row r="53" customFormat="false" ht="15" hidden="false" customHeight="false" outlineLevel="0" collapsed="false">
      <c r="A53" s="12"/>
      <c r="B53" s="13"/>
      <c r="C53" s="13"/>
      <c r="D53" s="13"/>
      <c r="E53" s="13"/>
      <c r="F53" s="13"/>
      <c r="G53" s="14"/>
      <c r="H53" s="14"/>
      <c r="I53" s="2"/>
      <c r="J53" s="24" t="str">
        <f aca="false">設定!$B$5&amp;" 仕入れ合計"</f>
        <v>従業員A 仕入れ合計</v>
      </c>
      <c r="K53" s="24"/>
      <c r="L53" s="24"/>
      <c r="M53" s="25" t="n">
        <f aca="false">C49</f>
        <v>0</v>
      </c>
      <c r="N53" s="2"/>
      <c r="O53" s="2"/>
      <c r="P53" s="2"/>
      <c r="Q53" s="2"/>
    </row>
    <row r="54" customFormat="false" ht="15" hidden="false" customHeight="false" outlineLevel="0" collapsed="false">
      <c r="A54" s="12"/>
      <c r="B54" s="13"/>
      <c r="C54" s="13"/>
      <c r="D54" s="13"/>
      <c r="E54" s="13"/>
      <c r="F54" s="13"/>
      <c r="G54" s="14"/>
      <c r="H54" s="14"/>
      <c r="I54" s="2"/>
      <c r="J54" s="24" t="str">
        <f aca="false">設定!$B$5&amp;" 交通費合計"</f>
        <v>従業員A 交通費合計</v>
      </c>
      <c r="K54" s="24"/>
      <c r="L54" s="24"/>
      <c r="M54" s="25" t="n">
        <f aca="false">H49</f>
        <v>0</v>
      </c>
      <c r="N54" s="2"/>
      <c r="O54" s="2"/>
      <c r="P54" s="2"/>
      <c r="Q54" s="2"/>
    </row>
    <row r="55" customFormat="false" ht="15" hidden="false" customHeight="false" outlineLevel="0" collapsed="false">
      <c r="A55" s="12"/>
      <c r="B55" s="13"/>
      <c r="C55" s="13"/>
      <c r="D55" s="13"/>
      <c r="E55" s="13"/>
      <c r="F55" s="13"/>
      <c r="G55" s="14"/>
      <c r="H55" s="14"/>
      <c r="I55" s="2"/>
      <c r="J55" s="24" t="str">
        <f aca="false">設定!$B$5&amp;" 立替精算額（返金額）"</f>
        <v>従業員A 立替精算額（返金額）</v>
      </c>
      <c r="K55" s="24"/>
      <c r="L55" s="24"/>
      <c r="M55" s="25" t="n">
        <f aca="false">SUMIF(E9:E48,"○",C9:C48)+SUMIF(E9:E48,"○",H9:H48)</f>
        <v>0</v>
      </c>
      <c r="N55" s="2"/>
      <c r="O55" s="2"/>
      <c r="P55" s="2"/>
      <c r="Q55" s="2"/>
    </row>
    <row r="56" customFormat="false" ht="15" hidden="false" customHeight="false" outlineLevel="0" collapsed="false">
      <c r="A56" s="12"/>
      <c r="B56" s="13"/>
      <c r="C56" s="13"/>
      <c r="D56" s="13"/>
      <c r="E56" s="13"/>
      <c r="F56" s="13"/>
      <c r="G56" s="14"/>
      <c r="H56" s="14"/>
      <c r="I56" s="2"/>
      <c r="J56" s="24" t="str">
        <f aca="false">設定!$B$6&amp;" 仕入れ合計"</f>
        <v>従業員B 仕入れ合計</v>
      </c>
      <c r="K56" s="24"/>
      <c r="L56" s="24"/>
      <c r="M56" s="25" t="n">
        <f aca="false">L49</f>
        <v>0</v>
      </c>
      <c r="N56" s="2"/>
      <c r="O56" s="2"/>
      <c r="P56" s="2"/>
      <c r="Q56" s="2"/>
    </row>
    <row r="57" customFormat="false" ht="15" hidden="false" customHeight="false" outlineLevel="0" collapsed="false">
      <c r="A57" s="12"/>
      <c r="B57" s="13"/>
      <c r="C57" s="13"/>
      <c r="D57" s="13"/>
      <c r="E57" s="13"/>
      <c r="F57" s="13"/>
      <c r="G57" s="14"/>
      <c r="H57" s="14"/>
      <c r="I57" s="2"/>
      <c r="J57" s="24" t="str">
        <f aca="false">設定!$B$6&amp;" 交通費合計"</f>
        <v>従業員B 交通費合計</v>
      </c>
      <c r="K57" s="24"/>
      <c r="L57" s="24"/>
      <c r="M57" s="25" t="n">
        <f aca="false">Q49</f>
        <v>0</v>
      </c>
      <c r="N57" s="2"/>
      <c r="O57" s="2"/>
      <c r="P57" s="2"/>
      <c r="Q57" s="2"/>
    </row>
    <row r="58" customFormat="false" ht="15" hidden="false" customHeight="false" outlineLevel="0" collapsed="false">
      <c r="A58" s="12"/>
      <c r="B58" s="13"/>
      <c r="C58" s="13"/>
      <c r="D58" s="13"/>
      <c r="E58" s="13"/>
      <c r="F58" s="13"/>
      <c r="G58" s="14"/>
      <c r="H58" s="14"/>
      <c r="I58" s="2"/>
      <c r="J58" s="24" t="str">
        <f aca="false">設定!$B$6&amp;" 立替精算額（返金額）"</f>
        <v>従業員B 立替精算額（返金額）</v>
      </c>
      <c r="K58" s="24"/>
      <c r="L58" s="24"/>
      <c r="M58" s="25" t="n">
        <f aca="false">SUMIF(N9:N48,"○",L9:L48)+SUMIF(N9:N48,"○",Q9:Q48)</f>
        <v>0</v>
      </c>
      <c r="N58" s="2"/>
      <c r="O58" s="2"/>
      <c r="P58" s="2"/>
      <c r="Q58" s="2"/>
    </row>
    <row r="59" customFormat="false" ht="15" hidden="false" customHeight="false" outlineLevel="0" collapsed="false">
      <c r="A59" s="12"/>
      <c r="B59" s="13"/>
      <c r="C59" s="13"/>
      <c r="D59" s="13"/>
      <c r="E59" s="13"/>
      <c r="F59" s="13"/>
      <c r="G59" s="14"/>
      <c r="H59" s="14"/>
      <c r="I59" s="2"/>
      <c r="J59" s="24" t="str">
        <f aca="false">"共通経費　送料"</f>
        <v>共通経費　送料</v>
      </c>
      <c r="K59" s="24"/>
      <c r="L59" s="24"/>
      <c r="M59" s="25" t="n">
        <f aca="false">SUMIF(B53:B60,"送料",G53:G60)</f>
        <v>0</v>
      </c>
      <c r="N59" s="2"/>
      <c r="O59" s="2"/>
      <c r="P59" s="2"/>
      <c r="Q59" s="2"/>
    </row>
    <row r="60" customFormat="false" ht="15" hidden="false" customHeight="false" outlineLevel="0" collapsed="false">
      <c r="A60" s="12"/>
      <c r="B60" s="13"/>
      <c r="C60" s="13"/>
      <c r="D60" s="13"/>
      <c r="E60" s="13"/>
      <c r="F60" s="13"/>
      <c r="G60" s="14"/>
      <c r="H60" s="14"/>
      <c r="I60" s="2"/>
      <c r="J60" s="24" t="str">
        <f aca="false">"共通経費　その他経費"</f>
        <v>共通経費　その他経費</v>
      </c>
      <c r="K60" s="24"/>
      <c r="L60" s="24"/>
      <c r="M60" s="25" t="n">
        <f aca="false">SUMIF(B53:B60,"その他経費",G53:G60)</f>
        <v>0</v>
      </c>
      <c r="N60" s="2"/>
      <c r="O60" s="2"/>
      <c r="P60" s="2"/>
      <c r="Q60" s="2"/>
    </row>
    <row r="61" customFormat="false" ht="15" hidden="false" customHeight="false" outlineLevel="0" collapsed="false">
      <c r="A61" s="26" t="s">
        <v>34</v>
      </c>
      <c r="B61" s="26"/>
      <c r="C61" s="26"/>
      <c r="D61" s="26"/>
      <c r="E61" s="26"/>
      <c r="F61" s="26"/>
      <c r="G61" s="27" t="n">
        <f aca="false">SUM(G53:G60)</f>
        <v>0</v>
      </c>
      <c r="H61" s="27"/>
      <c r="I61" s="2"/>
      <c r="J61" s="28" t="s">
        <v>35</v>
      </c>
      <c r="K61" s="28"/>
      <c r="L61" s="28"/>
      <c r="M61" s="29" t="n">
        <f aca="false">M53+M54+M56+M57+G61</f>
        <v>0</v>
      </c>
      <c r="N61" s="2"/>
      <c r="O61" s="2"/>
      <c r="P61" s="2"/>
      <c r="Q61" s="2"/>
    </row>
  </sheetData>
  <mergeCells count="36">
    <mergeCell ref="A7:H7"/>
    <mergeCell ref="J7:Q7"/>
    <mergeCell ref="A49:B49"/>
    <mergeCell ref="J49:K49"/>
    <mergeCell ref="A51:H51"/>
    <mergeCell ref="J51:M51"/>
    <mergeCell ref="C52:F52"/>
    <mergeCell ref="G52:H52"/>
    <mergeCell ref="J52:L52"/>
    <mergeCell ref="C53:F53"/>
    <mergeCell ref="G53:H53"/>
    <mergeCell ref="J53:L53"/>
    <mergeCell ref="C54:F54"/>
    <mergeCell ref="G54:H54"/>
    <mergeCell ref="J54:L54"/>
    <mergeCell ref="C55:F55"/>
    <mergeCell ref="G55:H55"/>
    <mergeCell ref="J55:L55"/>
    <mergeCell ref="C56:F56"/>
    <mergeCell ref="G56:H56"/>
    <mergeCell ref="J56:L56"/>
    <mergeCell ref="C57:F57"/>
    <mergeCell ref="G57:H57"/>
    <mergeCell ref="J57:L57"/>
    <mergeCell ref="C58:F58"/>
    <mergeCell ref="G58:H58"/>
    <mergeCell ref="J58:L58"/>
    <mergeCell ref="C59:F59"/>
    <mergeCell ref="G59:H59"/>
    <mergeCell ref="J59:L59"/>
    <mergeCell ref="C60:F60"/>
    <mergeCell ref="G60:H60"/>
    <mergeCell ref="J60:L60"/>
    <mergeCell ref="A61:F61"/>
    <mergeCell ref="G61:H61"/>
    <mergeCell ref="J61:L61"/>
  </mergeCells>
  <dataValidations count="3">
    <dataValidation allowBlank="true" errorStyle="stop" operator="between" prompt="従業員が立て替えた行のみ ○ を入力してください。" promptTitle="立替" showDropDown="false" showErrorMessage="false" showInputMessage="false" sqref="E9:E48 N9:N48" type="list">
      <formula1>"○"</formula1>
      <formula2>0</formula2>
    </dataValidation>
    <dataValidation allowBlank="true" errorStyle="stop" operator="between" prompt="現金／クレジットカード等を選択してください。" promptTitle="支払方法" showDropDown="false" showErrorMessage="false" showInputMessage="false" sqref="D9:D48 M9:M48" type="list">
      <formula1>設定!$D$5:$D$10</formula1>
      <formula2>0</formula2>
    </dataValidation>
    <dataValidation allowBlank="true" errorStyle="stop" operator="between" prompt="送料／その他経費 を選択してください。" promptTitle="経費区分" showDropDown="false" showErrorMessage="false" showInputMessage="false" sqref="B53:B60" type="list">
      <formula1>設定!$F$5:$F$6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2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14"/>
    <col collapsed="false" customWidth="true" hidden="false" outlineLevel="0" max="14" min="14" style="0" width="6"/>
    <col collapsed="false" customWidth="true" hidden="false" outlineLevel="0" max="16" min="15" style="0" width="14"/>
    <col collapsed="false" customWidth="true" hidden="false" outlineLevel="0" max="17" min="17" style="0" width="12"/>
  </cols>
  <sheetData>
    <row r="1" customFormat="false" ht="19.4" hidden="false" customHeight="false" outlineLevel="0" collapsed="false">
      <c r="A1" s="1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4" t="str">
        <f aca="false">設定!$B$5</f>
        <v>従業員A</v>
      </c>
      <c r="B7" s="4"/>
      <c r="C7" s="4"/>
      <c r="D7" s="4"/>
      <c r="E7" s="4"/>
      <c r="F7" s="4"/>
      <c r="G7" s="4"/>
      <c r="H7" s="4"/>
      <c r="I7" s="2"/>
      <c r="J7" s="5" t="str">
        <f aca="false">設定!$B$6</f>
        <v>従業員B</v>
      </c>
      <c r="K7" s="5"/>
      <c r="L7" s="5"/>
      <c r="M7" s="5"/>
      <c r="N7" s="5"/>
      <c r="O7" s="5"/>
      <c r="P7" s="5"/>
      <c r="Q7" s="5"/>
    </row>
    <row r="8" customFormat="false" ht="31.5" hidden="false" customHeight="true" outlineLevel="0" collapsed="false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2"/>
      <c r="J8" s="7" t="s">
        <v>5</v>
      </c>
      <c r="K8" s="7" t="s">
        <v>6</v>
      </c>
      <c r="L8" s="7" t="s">
        <v>7</v>
      </c>
      <c r="M8" s="7" t="s">
        <v>8</v>
      </c>
      <c r="N8" s="7" t="s">
        <v>9</v>
      </c>
      <c r="O8" s="7" t="s">
        <v>10</v>
      </c>
      <c r="P8" s="7" t="s">
        <v>11</v>
      </c>
      <c r="Q8" s="7" t="s">
        <v>12</v>
      </c>
    </row>
    <row r="9" customFormat="false" ht="15" hidden="false" customHeight="false" outlineLevel="0" collapsed="false">
      <c r="A9" s="12"/>
      <c r="B9" s="13"/>
      <c r="C9" s="14"/>
      <c r="D9" s="13"/>
      <c r="E9" s="15"/>
      <c r="F9" s="13"/>
      <c r="G9" s="13"/>
      <c r="H9" s="14"/>
      <c r="I9" s="2"/>
      <c r="J9" s="12"/>
      <c r="K9" s="13"/>
      <c r="L9" s="14"/>
      <c r="M9" s="13"/>
      <c r="N9" s="15"/>
      <c r="O9" s="13"/>
      <c r="P9" s="13"/>
      <c r="Q9" s="14"/>
    </row>
    <row r="10" customFormat="false" ht="15" hidden="false" customHeight="false" outlineLevel="0" collapsed="false">
      <c r="A10" s="12"/>
      <c r="B10" s="13"/>
      <c r="C10" s="14"/>
      <c r="D10" s="13"/>
      <c r="E10" s="15"/>
      <c r="F10" s="13"/>
      <c r="G10" s="13"/>
      <c r="H10" s="14"/>
      <c r="I10" s="2"/>
      <c r="J10" s="12"/>
      <c r="K10" s="13"/>
      <c r="L10" s="14"/>
      <c r="M10" s="13"/>
      <c r="N10" s="15"/>
      <c r="O10" s="13"/>
      <c r="P10" s="13"/>
      <c r="Q10" s="14"/>
    </row>
    <row r="11" customFormat="false" ht="15" hidden="false" customHeight="false" outlineLevel="0" collapsed="false">
      <c r="A11" s="12"/>
      <c r="B11" s="13"/>
      <c r="C11" s="14"/>
      <c r="D11" s="13"/>
      <c r="E11" s="15"/>
      <c r="F11" s="13"/>
      <c r="G11" s="13"/>
      <c r="H11" s="14"/>
      <c r="I11" s="2"/>
      <c r="J11" s="12"/>
      <c r="K11" s="13"/>
      <c r="L11" s="14"/>
      <c r="M11" s="13"/>
      <c r="N11" s="15"/>
      <c r="O11" s="13"/>
      <c r="P11" s="13"/>
      <c r="Q11" s="14"/>
    </row>
    <row r="12" customFormat="false" ht="15" hidden="false" customHeight="false" outlineLevel="0" collapsed="false">
      <c r="A12" s="12"/>
      <c r="B12" s="13"/>
      <c r="C12" s="14"/>
      <c r="D12" s="13"/>
      <c r="E12" s="15"/>
      <c r="F12" s="13"/>
      <c r="G12" s="13"/>
      <c r="H12" s="14"/>
      <c r="I12" s="2"/>
      <c r="J12" s="12"/>
      <c r="K12" s="13"/>
      <c r="L12" s="14"/>
      <c r="M12" s="13"/>
      <c r="N12" s="15"/>
      <c r="O12" s="13"/>
      <c r="P12" s="13"/>
      <c r="Q12" s="14"/>
    </row>
    <row r="13" customFormat="false" ht="15" hidden="false" customHeight="false" outlineLevel="0" collapsed="false">
      <c r="A13" s="12"/>
      <c r="B13" s="13"/>
      <c r="C13" s="14"/>
      <c r="D13" s="13"/>
      <c r="E13" s="15"/>
      <c r="F13" s="13"/>
      <c r="G13" s="13"/>
      <c r="H13" s="14"/>
      <c r="I13" s="2"/>
      <c r="J13" s="12"/>
      <c r="K13" s="13"/>
      <c r="L13" s="14"/>
      <c r="M13" s="13"/>
      <c r="N13" s="15"/>
      <c r="O13" s="13"/>
      <c r="P13" s="13"/>
      <c r="Q13" s="14"/>
    </row>
    <row r="14" customFormat="false" ht="15" hidden="false" customHeight="false" outlineLevel="0" collapsed="false">
      <c r="A14" s="12"/>
      <c r="B14" s="13"/>
      <c r="C14" s="14"/>
      <c r="D14" s="13"/>
      <c r="E14" s="15"/>
      <c r="F14" s="13"/>
      <c r="G14" s="13"/>
      <c r="H14" s="14"/>
      <c r="I14" s="2"/>
      <c r="J14" s="12"/>
      <c r="K14" s="13"/>
      <c r="L14" s="14"/>
      <c r="M14" s="13"/>
      <c r="N14" s="15"/>
      <c r="O14" s="13"/>
      <c r="P14" s="13"/>
      <c r="Q14" s="14"/>
    </row>
    <row r="15" customFormat="false" ht="15" hidden="false" customHeight="false" outlineLevel="0" collapsed="false">
      <c r="A15" s="12"/>
      <c r="B15" s="13"/>
      <c r="C15" s="14"/>
      <c r="D15" s="13"/>
      <c r="E15" s="15"/>
      <c r="F15" s="13"/>
      <c r="G15" s="13"/>
      <c r="H15" s="14"/>
      <c r="I15" s="2"/>
      <c r="J15" s="12"/>
      <c r="K15" s="13"/>
      <c r="L15" s="14"/>
      <c r="M15" s="13"/>
      <c r="N15" s="15"/>
      <c r="O15" s="13"/>
      <c r="P15" s="13"/>
      <c r="Q15" s="14"/>
    </row>
    <row r="16" customFormat="false" ht="15" hidden="false" customHeight="false" outlineLevel="0" collapsed="false">
      <c r="A16" s="12"/>
      <c r="B16" s="13"/>
      <c r="C16" s="14"/>
      <c r="D16" s="13"/>
      <c r="E16" s="15"/>
      <c r="F16" s="13"/>
      <c r="G16" s="13"/>
      <c r="H16" s="14"/>
      <c r="I16" s="2"/>
      <c r="J16" s="12"/>
      <c r="K16" s="13"/>
      <c r="L16" s="14"/>
      <c r="M16" s="13"/>
      <c r="N16" s="15"/>
      <c r="O16" s="13"/>
      <c r="P16" s="13"/>
      <c r="Q16" s="14"/>
    </row>
    <row r="17" customFormat="false" ht="15" hidden="false" customHeight="false" outlineLevel="0" collapsed="false">
      <c r="A17" s="12"/>
      <c r="B17" s="13"/>
      <c r="C17" s="14"/>
      <c r="D17" s="13"/>
      <c r="E17" s="15"/>
      <c r="F17" s="13"/>
      <c r="G17" s="13"/>
      <c r="H17" s="14"/>
      <c r="I17" s="2"/>
      <c r="J17" s="12"/>
      <c r="K17" s="13"/>
      <c r="L17" s="14"/>
      <c r="M17" s="13"/>
      <c r="N17" s="15"/>
      <c r="O17" s="13"/>
      <c r="P17" s="13"/>
      <c r="Q17" s="14"/>
    </row>
    <row r="18" customFormat="false" ht="15" hidden="false" customHeight="false" outlineLevel="0" collapsed="false">
      <c r="A18" s="12"/>
      <c r="B18" s="13"/>
      <c r="C18" s="14"/>
      <c r="D18" s="13"/>
      <c r="E18" s="15"/>
      <c r="F18" s="13"/>
      <c r="G18" s="13"/>
      <c r="H18" s="14"/>
      <c r="I18" s="2"/>
      <c r="J18" s="12"/>
      <c r="K18" s="13"/>
      <c r="L18" s="14"/>
      <c r="M18" s="13"/>
      <c r="N18" s="15"/>
      <c r="O18" s="13"/>
      <c r="P18" s="13"/>
      <c r="Q18" s="14"/>
    </row>
    <row r="19" customFormat="false" ht="15" hidden="false" customHeight="false" outlineLevel="0" collapsed="false">
      <c r="A19" s="12"/>
      <c r="B19" s="13"/>
      <c r="C19" s="14"/>
      <c r="D19" s="13"/>
      <c r="E19" s="15"/>
      <c r="F19" s="13"/>
      <c r="G19" s="13"/>
      <c r="H19" s="14"/>
      <c r="I19" s="2"/>
      <c r="J19" s="12"/>
      <c r="K19" s="13"/>
      <c r="L19" s="14"/>
      <c r="M19" s="13"/>
      <c r="N19" s="15"/>
      <c r="O19" s="13"/>
      <c r="P19" s="13"/>
      <c r="Q19" s="14"/>
    </row>
    <row r="20" customFormat="false" ht="15" hidden="false" customHeight="false" outlineLevel="0" collapsed="false">
      <c r="A20" s="12"/>
      <c r="B20" s="13"/>
      <c r="C20" s="14"/>
      <c r="D20" s="13"/>
      <c r="E20" s="15"/>
      <c r="F20" s="13"/>
      <c r="G20" s="13"/>
      <c r="H20" s="14"/>
      <c r="I20" s="2"/>
      <c r="J20" s="12"/>
      <c r="K20" s="13"/>
      <c r="L20" s="14"/>
      <c r="M20" s="13"/>
      <c r="N20" s="15"/>
      <c r="O20" s="13"/>
      <c r="P20" s="13"/>
      <c r="Q20" s="14"/>
    </row>
    <row r="21" customFormat="false" ht="15" hidden="false" customHeight="false" outlineLevel="0" collapsed="false">
      <c r="A21" s="12"/>
      <c r="B21" s="13"/>
      <c r="C21" s="14"/>
      <c r="D21" s="13"/>
      <c r="E21" s="15"/>
      <c r="F21" s="13"/>
      <c r="G21" s="13"/>
      <c r="H21" s="14"/>
      <c r="I21" s="2"/>
      <c r="J21" s="12"/>
      <c r="K21" s="13"/>
      <c r="L21" s="14"/>
      <c r="M21" s="13"/>
      <c r="N21" s="15"/>
      <c r="O21" s="13"/>
      <c r="P21" s="13"/>
      <c r="Q21" s="14"/>
    </row>
    <row r="22" customFormat="false" ht="15" hidden="false" customHeight="false" outlineLevel="0" collapsed="false">
      <c r="A22" s="12"/>
      <c r="B22" s="13"/>
      <c r="C22" s="14"/>
      <c r="D22" s="13"/>
      <c r="E22" s="15"/>
      <c r="F22" s="13"/>
      <c r="G22" s="13"/>
      <c r="H22" s="14"/>
      <c r="I22" s="2"/>
      <c r="J22" s="12"/>
      <c r="K22" s="13"/>
      <c r="L22" s="14"/>
      <c r="M22" s="13"/>
      <c r="N22" s="15"/>
      <c r="O22" s="13"/>
      <c r="P22" s="13"/>
      <c r="Q22" s="14"/>
    </row>
    <row r="23" customFormat="false" ht="15" hidden="false" customHeight="false" outlineLevel="0" collapsed="false">
      <c r="A23" s="12"/>
      <c r="B23" s="13"/>
      <c r="C23" s="14"/>
      <c r="D23" s="13"/>
      <c r="E23" s="15"/>
      <c r="F23" s="13"/>
      <c r="G23" s="13"/>
      <c r="H23" s="14"/>
      <c r="I23" s="2"/>
      <c r="J23" s="12"/>
      <c r="K23" s="13"/>
      <c r="L23" s="14"/>
      <c r="M23" s="13"/>
      <c r="N23" s="15"/>
      <c r="O23" s="13"/>
      <c r="P23" s="13"/>
      <c r="Q23" s="14"/>
    </row>
    <row r="24" customFormat="false" ht="15" hidden="false" customHeight="false" outlineLevel="0" collapsed="false">
      <c r="A24" s="12"/>
      <c r="B24" s="13"/>
      <c r="C24" s="14"/>
      <c r="D24" s="13"/>
      <c r="E24" s="15"/>
      <c r="F24" s="13"/>
      <c r="G24" s="13"/>
      <c r="H24" s="14"/>
      <c r="I24" s="2"/>
      <c r="J24" s="12"/>
      <c r="K24" s="13"/>
      <c r="L24" s="14"/>
      <c r="M24" s="13"/>
      <c r="N24" s="15"/>
      <c r="O24" s="13"/>
      <c r="P24" s="13"/>
      <c r="Q24" s="14"/>
    </row>
    <row r="25" customFormat="false" ht="15" hidden="false" customHeight="false" outlineLevel="0" collapsed="false">
      <c r="A25" s="12"/>
      <c r="B25" s="13"/>
      <c r="C25" s="14"/>
      <c r="D25" s="13"/>
      <c r="E25" s="15"/>
      <c r="F25" s="13"/>
      <c r="G25" s="13"/>
      <c r="H25" s="14"/>
      <c r="I25" s="2"/>
      <c r="J25" s="12"/>
      <c r="K25" s="13"/>
      <c r="L25" s="14"/>
      <c r="M25" s="13"/>
      <c r="N25" s="15"/>
      <c r="O25" s="13"/>
      <c r="P25" s="13"/>
      <c r="Q25" s="14"/>
    </row>
    <row r="26" customFormat="false" ht="15" hidden="false" customHeight="false" outlineLevel="0" collapsed="false">
      <c r="A26" s="12"/>
      <c r="B26" s="13"/>
      <c r="C26" s="14"/>
      <c r="D26" s="13"/>
      <c r="E26" s="15"/>
      <c r="F26" s="13"/>
      <c r="G26" s="13"/>
      <c r="H26" s="14"/>
      <c r="I26" s="2"/>
      <c r="J26" s="12"/>
      <c r="K26" s="13"/>
      <c r="L26" s="14"/>
      <c r="M26" s="13"/>
      <c r="N26" s="15"/>
      <c r="O26" s="13"/>
      <c r="P26" s="13"/>
      <c r="Q26" s="14"/>
    </row>
    <row r="27" customFormat="false" ht="15" hidden="false" customHeight="false" outlineLevel="0" collapsed="false">
      <c r="A27" s="12"/>
      <c r="B27" s="13"/>
      <c r="C27" s="14"/>
      <c r="D27" s="13"/>
      <c r="E27" s="15"/>
      <c r="F27" s="13"/>
      <c r="G27" s="13"/>
      <c r="H27" s="14"/>
      <c r="I27" s="2"/>
      <c r="J27" s="12"/>
      <c r="K27" s="13"/>
      <c r="L27" s="14"/>
      <c r="M27" s="13"/>
      <c r="N27" s="15"/>
      <c r="O27" s="13"/>
      <c r="P27" s="13"/>
      <c r="Q27" s="14"/>
    </row>
    <row r="28" customFormat="false" ht="15" hidden="false" customHeight="false" outlineLevel="0" collapsed="false">
      <c r="A28" s="12"/>
      <c r="B28" s="13"/>
      <c r="C28" s="14"/>
      <c r="D28" s="13"/>
      <c r="E28" s="15"/>
      <c r="F28" s="13"/>
      <c r="G28" s="13"/>
      <c r="H28" s="14"/>
      <c r="I28" s="2"/>
      <c r="J28" s="12"/>
      <c r="K28" s="13"/>
      <c r="L28" s="14"/>
      <c r="M28" s="13"/>
      <c r="N28" s="15"/>
      <c r="O28" s="13"/>
      <c r="P28" s="13"/>
      <c r="Q28" s="14"/>
    </row>
    <row r="29" customFormat="false" ht="15" hidden="false" customHeight="false" outlineLevel="0" collapsed="false">
      <c r="A29" s="12"/>
      <c r="B29" s="13"/>
      <c r="C29" s="14"/>
      <c r="D29" s="13"/>
      <c r="E29" s="15"/>
      <c r="F29" s="13"/>
      <c r="G29" s="13"/>
      <c r="H29" s="14"/>
      <c r="I29" s="2"/>
      <c r="J29" s="12"/>
      <c r="K29" s="13"/>
      <c r="L29" s="14"/>
      <c r="M29" s="13"/>
      <c r="N29" s="15"/>
      <c r="O29" s="13"/>
      <c r="P29" s="13"/>
      <c r="Q29" s="14"/>
    </row>
    <row r="30" customFormat="false" ht="15" hidden="false" customHeight="false" outlineLevel="0" collapsed="false">
      <c r="A30" s="12"/>
      <c r="B30" s="13"/>
      <c r="C30" s="14"/>
      <c r="D30" s="13"/>
      <c r="E30" s="15"/>
      <c r="F30" s="13"/>
      <c r="G30" s="13"/>
      <c r="H30" s="14"/>
      <c r="I30" s="2"/>
      <c r="J30" s="12"/>
      <c r="K30" s="13"/>
      <c r="L30" s="14"/>
      <c r="M30" s="13"/>
      <c r="N30" s="15"/>
      <c r="O30" s="13"/>
      <c r="P30" s="13"/>
      <c r="Q30" s="14"/>
    </row>
    <row r="31" customFormat="false" ht="15" hidden="false" customHeight="false" outlineLevel="0" collapsed="false">
      <c r="A31" s="12"/>
      <c r="B31" s="13"/>
      <c r="C31" s="14"/>
      <c r="D31" s="13"/>
      <c r="E31" s="15"/>
      <c r="F31" s="13"/>
      <c r="G31" s="13"/>
      <c r="H31" s="14"/>
      <c r="I31" s="2"/>
      <c r="J31" s="12"/>
      <c r="K31" s="13"/>
      <c r="L31" s="14"/>
      <c r="M31" s="13"/>
      <c r="N31" s="15"/>
      <c r="O31" s="13"/>
      <c r="P31" s="13"/>
      <c r="Q31" s="14"/>
    </row>
    <row r="32" customFormat="false" ht="15" hidden="false" customHeight="false" outlineLevel="0" collapsed="false">
      <c r="A32" s="12"/>
      <c r="B32" s="13"/>
      <c r="C32" s="14"/>
      <c r="D32" s="13"/>
      <c r="E32" s="15"/>
      <c r="F32" s="13"/>
      <c r="G32" s="13"/>
      <c r="H32" s="14"/>
      <c r="I32" s="2"/>
      <c r="J32" s="12"/>
      <c r="K32" s="13"/>
      <c r="L32" s="14"/>
      <c r="M32" s="13"/>
      <c r="N32" s="15"/>
      <c r="O32" s="13"/>
      <c r="P32" s="13"/>
      <c r="Q32" s="14"/>
    </row>
    <row r="33" customFormat="false" ht="15" hidden="false" customHeight="false" outlineLevel="0" collapsed="false">
      <c r="A33" s="12"/>
      <c r="B33" s="13"/>
      <c r="C33" s="14"/>
      <c r="D33" s="13"/>
      <c r="E33" s="15"/>
      <c r="F33" s="13"/>
      <c r="G33" s="13"/>
      <c r="H33" s="14"/>
      <c r="I33" s="2"/>
      <c r="J33" s="12"/>
      <c r="K33" s="13"/>
      <c r="L33" s="14"/>
      <c r="M33" s="13"/>
      <c r="N33" s="15"/>
      <c r="O33" s="13"/>
      <c r="P33" s="13"/>
      <c r="Q33" s="14"/>
    </row>
    <row r="34" customFormat="false" ht="15" hidden="false" customHeight="false" outlineLevel="0" collapsed="false">
      <c r="A34" s="12"/>
      <c r="B34" s="13"/>
      <c r="C34" s="14"/>
      <c r="D34" s="13"/>
      <c r="E34" s="15"/>
      <c r="F34" s="13"/>
      <c r="G34" s="13"/>
      <c r="H34" s="14"/>
      <c r="I34" s="2"/>
      <c r="J34" s="12"/>
      <c r="K34" s="13"/>
      <c r="L34" s="14"/>
      <c r="M34" s="13"/>
      <c r="N34" s="15"/>
      <c r="O34" s="13"/>
      <c r="P34" s="13"/>
      <c r="Q34" s="14"/>
    </row>
    <row r="35" customFormat="false" ht="15" hidden="false" customHeight="false" outlineLevel="0" collapsed="false">
      <c r="A35" s="12"/>
      <c r="B35" s="13"/>
      <c r="C35" s="14"/>
      <c r="D35" s="13"/>
      <c r="E35" s="15"/>
      <c r="F35" s="13"/>
      <c r="G35" s="13"/>
      <c r="H35" s="14"/>
      <c r="I35" s="2"/>
      <c r="J35" s="12"/>
      <c r="K35" s="13"/>
      <c r="L35" s="14"/>
      <c r="M35" s="13"/>
      <c r="N35" s="15"/>
      <c r="O35" s="13"/>
      <c r="P35" s="13"/>
      <c r="Q35" s="14"/>
    </row>
    <row r="36" customFormat="false" ht="15" hidden="false" customHeight="false" outlineLevel="0" collapsed="false">
      <c r="A36" s="12"/>
      <c r="B36" s="13"/>
      <c r="C36" s="14"/>
      <c r="D36" s="13"/>
      <c r="E36" s="15"/>
      <c r="F36" s="13"/>
      <c r="G36" s="13"/>
      <c r="H36" s="14"/>
      <c r="I36" s="2"/>
      <c r="J36" s="12"/>
      <c r="K36" s="13"/>
      <c r="L36" s="14"/>
      <c r="M36" s="13"/>
      <c r="N36" s="15"/>
      <c r="O36" s="13"/>
      <c r="P36" s="13"/>
      <c r="Q36" s="14"/>
    </row>
    <row r="37" customFormat="false" ht="15" hidden="false" customHeight="false" outlineLevel="0" collapsed="false">
      <c r="A37" s="12"/>
      <c r="B37" s="13"/>
      <c r="C37" s="14"/>
      <c r="D37" s="13"/>
      <c r="E37" s="15"/>
      <c r="F37" s="13"/>
      <c r="G37" s="13"/>
      <c r="H37" s="14"/>
      <c r="I37" s="2"/>
      <c r="J37" s="12"/>
      <c r="K37" s="13"/>
      <c r="L37" s="14"/>
      <c r="M37" s="13"/>
      <c r="N37" s="15"/>
      <c r="O37" s="13"/>
      <c r="P37" s="13"/>
      <c r="Q37" s="14"/>
    </row>
    <row r="38" customFormat="false" ht="15" hidden="false" customHeight="false" outlineLevel="0" collapsed="false">
      <c r="A38" s="12"/>
      <c r="B38" s="13"/>
      <c r="C38" s="14"/>
      <c r="D38" s="13"/>
      <c r="E38" s="15"/>
      <c r="F38" s="13"/>
      <c r="G38" s="13"/>
      <c r="H38" s="14"/>
      <c r="I38" s="2"/>
      <c r="J38" s="12"/>
      <c r="K38" s="13"/>
      <c r="L38" s="14"/>
      <c r="M38" s="13"/>
      <c r="N38" s="15"/>
      <c r="O38" s="13"/>
      <c r="P38" s="13"/>
      <c r="Q38" s="14"/>
    </row>
    <row r="39" customFormat="false" ht="15" hidden="false" customHeight="false" outlineLevel="0" collapsed="false">
      <c r="A39" s="12"/>
      <c r="B39" s="13"/>
      <c r="C39" s="14"/>
      <c r="D39" s="13"/>
      <c r="E39" s="15"/>
      <c r="F39" s="13"/>
      <c r="G39" s="13"/>
      <c r="H39" s="14"/>
      <c r="I39" s="2"/>
      <c r="J39" s="12"/>
      <c r="K39" s="13"/>
      <c r="L39" s="14"/>
      <c r="M39" s="13"/>
      <c r="N39" s="15"/>
      <c r="O39" s="13"/>
      <c r="P39" s="13"/>
      <c r="Q39" s="14"/>
    </row>
    <row r="40" customFormat="false" ht="15" hidden="false" customHeight="false" outlineLevel="0" collapsed="false">
      <c r="A40" s="12"/>
      <c r="B40" s="13"/>
      <c r="C40" s="14"/>
      <c r="D40" s="13"/>
      <c r="E40" s="15"/>
      <c r="F40" s="13"/>
      <c r="G40" s="13"/>
      <c r="H40" s="14"/>
      <c r="I40" s="2"/>
      <c r="J40" s="12"/>
      <c r="K40" s="13"/>
      <c r="L40" s="14"/>
      <c r="M40" s="13"/>
      <c r="N40" s="15"/>
      <c r="O40" s="13"/>
      <c r="P40" s="13"/>
      <c r="Q40" s="14"/>
    </row>
    <row r="41" customFormat="false" ht="15" hidden="false" customHeight="false" outlineLevel="0" collapsed="false">
      <c r="A41" s="12"/>
      <c r="B41" s="13"/>
      <c r="C41" s="14"/>
      <c r="D41" s="13"/>
      <c r="E41" s="15"/>
      <c r="F41" s="13"/>
      <c r="G41" s="13"/>
      <c r="H41" s="14"/>
      <c r="I41" s="2"/>
      <c r="J41" s="12"/>
      <c r="K41" s="13"/>
      <c r="L41" s="14"/>
      <c r="M41" s="13"/>
      <c r="N41" s="15"/>
      <c r="O41" s="13"/>
      <c r="P41" s="13"/>
      <c r="Q41" s="14"/>
    </row>
    <row r="42" customFormat="false" ht="15" hidden="false" customHeight="false" outlineLevel="0" collapsed="false">
      <c r="A42" s="12"/>
      <c r="B42" s="13"/>
      <c r="C42" s="14"/>
      <c r="D42" s="13"/>
      <c r="E42" s="15"/>
      <c r="F42" s="13"/>
      <c r="G42" s="13"/>
      <c r="H42" s="14"/>
      <c r="I42" s="2"/>
      <c r="J42" s="12"/>
      <c r="K42" s="13"/>
      <c r="L42" s="14"/>
      <c r="M42" s="13"/>
      <c r="N42" s="15"/>
      <c r="O42" s="13"/>
      <c r="P42" s="13"/>
      <c r="Q42" s="14"/>
    </row>
    <row r="43" customFormat="false" ht="15" hidden="false" customHeight="false" outlineLevel="0" collapsed="false">
      <c r="A43" s="12"/>
      <c r="B43" s="13"/>
      <c r="C43" s="14"/>
      <c r="D43" s="13"/>
      <c r="E43" s="15"/>
      <c r="F43" s="13"/>
      <c r="G43" s="13"/>
      <c r="H43" s="14"/>
      <c r="I43" s="2"/>
      <c r="J43" s="12"/>
      <c r="K43" s="13"/>
      <c r="L43" s="14"/>
      <c r="M43" s="13"/>
      <c r="N43" s="15"/>
      <c r="O43" s="13"/>
      <c r="P43" s="13"/>
      <c r="Q43" s="14"/>
    </row>
    <row r="44" customFormat="false" ht="15" hidden="false" customHeight="false" outlineLevel="0" collapsed="false">
      <c r="A44" s="12"/>
      <c r="B44" s="13"/>
      <c r="C44" s="14"/>
      <c r="D44" s="13"/>
      <c r="E44" s="15"/>
      <c r="F44" s="13"/>
      <c r="G44" s="13"/>
      <c r="H44" s="14"/>
      <c r="I44" s="2"/>
      <c r="J44" s="12"/>
      <c r="K44" s="13"/>
      <c r="L44" s="14"/>
      <c r="M44" s="13"/>
      <c r="N44" s="15"/>
      <c r="O44" s="13"/>
      <c r="P44" s="13"/>
      <c r="Q44" s="14"/>
    </row>
    <row r="45" customFormat="false" ht="15" hidden="false" customHeight="false" outlineLevel="0" collapsed="false">
      <c r="A45" s="12"/>
      <c r="B45" s="13"/>
      <c r="C45" s="14"/>
      <c r="D45" s="13"/>
      <c r="E45" s="15"/>
      <c r="F45" s="13"/>
      <c r="G45" s="13"/>
      <c r="H45" s="14"/>
      <c r="I45" s="2"/>
      <c r="J45" s="12"/>
      <c r="K45" s="13"/>
      <c r="L45" s="14"/>
      <c r="M45" s="13"/>
      <c r="N45" s="15"/>
      <c r="O45" s="13"/>
      <c r="P45" s="13"/>
      <c r="Q45" s="14"/>
    </row>
    <row r="46" customFormat="false" ht="15" hidden="false" customHeight="false" outlineLevel="0" collapsed="false">
      <c r="A46" s="12"/>
      <c r="B46" s="13"/>
      <c r="C46" s="14"/>
      <c r="D46" s="13"/>
      <c r="E46" s="15"/>
      <c r="F46" s="13"/>
      <c r="G46" s="13"/>
      <c r="H46" s="14"/>
      <c r="I46" s="2"/>
      <c r="J46" s="12"/>
      <c r="K46" s="13"/>
      <c r="L46" s="14"/>
      <c r="M46" s="13"/>
      <c r="N46" s="15"/>
      <c r="O46" s="13"/>
      <c r="P46" s="13"/>
      <c r="Q46" s="14"/>
    </row>
    <row r="47" customFormat="false" ht="15" hidden="false" customHeight="false" outlineLevel="0" collapsed="false">
      <c r="A47" s="12"/>
      <c r="B47" s="13"/>
      <c r="C47" s="14"/>
      <c r="D47" s="13"/>
      <c r="E47" s="15"/>
      <c r="F47" s="13"/>
      <c r="G47" s="13"/>
      <c r="H47" s="14"/>
      <c r="I47" s="2"/>
      <c r="J47" s="12"/>
      <c r="K47" s="13"/>
      <c r="L47" s="14"/>
      <c r="M47" s="13"/>
      <c r="N47" s="15"/>
      <c r="O47" s="13"/>
      <c r="P47" s="13"/>
      <c r="Q47" s="14"/>
    </row>
    <row r="48" customFormat="false" ht="15" hidden="false" customHeight="false" outlineLevel="0" collapsed="false">
      <c r="A48" s="12"/>
      <c r="B48" s="13"/>
      <c r="C48" s="14"/>
      <c r="D48" s="13"/>
      <c r="E48" s="15"/>
      <c r="F48" s="13"/>
      <c r="G48" s="13"/>
      <c r="H48" s="14"/>
      <c r="I48" s="2"/>
      <c r="J48" s="12"/>
      <c r="K48" s="13"/>
      <c r="L48" s="14"/>
      <c r="M48" s="13"/>
      <c r="N48" s="15"/>
      <c r="O48" s="13"/>
      <c r="P48" s="13"/>
      <c r="Q48" s="14"/>
    </row>
    <row r="49" customFormat="false" ht="15" hidden="false" customHeight="false" outlineLevel="0" collapsed="false">
      <c r="A49" s="16" t="s">
        <v>22</v>
      </c>
      <c r="B49" s="16"/>
      <c r="C49" s="17" t="n">
        <f aca="false">SUM(C9:C48)</f>
        <v>0</v>
      </c>
      <c r="D49" s="18"/>
      <c r="E49" s="18"/>
      <c r="F49" s="18"/>
      <c r="G49" s="18"/>
      <c r="H49" s="17" t="n">
        <f aca="false">SUM(H9:H48)</f>
        <v>0</v>
      </c>
      <c r="I49" s="2"/>
      <c r="J49" s="19" t="s">
        <v>22</v>
      </c>
      <c r="K49" s="19"/>
      <c r="L49" s="20" t="n">
        <f aca="false">SUM(L9:L48)</f>
        <v>0</v>
      </c>
      <c r="M49" s="21"/>
      <c r="N49" s="21"/>
      <c r="O49" s="21"/>
      <c r="P49" s="21"/>
      <c r="Q49" s="20" t="n">
        <f aca="false">SUM(Q9:Q48)</f>
        <v>0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customFormat="false" ht="15" hidden="false" customHeight="false" outlineLevel="0" collapsed="false">
      <c r="A51" s="22" t="s">
        <v>24</v>
      </c>
      <c r="B51" s="22"/>
      <c r="C51" s="22"/>
      <c r="D51" s="22"/>
      <c r="E51" s="22"/>
      <c r="F51" s="22"/>
      <c r="G51" s="22"/>
      <c r="H51" s="22"/>
      <c r="I51" s="2"/>
      <c r="J51" s="23" t="s">
        <v>25</v>
      </c>
      <c r="K51" s="23"/>
      <c r="L51" s="23"/>
      <c r="M51" s="23"/>
      <c r="N51" s="2"/>
      <c r="O51" s="2"/>
      <c r="P51" s="2"/>
      <c r="Q51" s="2"/>
    </row>
    <row r="52" customFormat="false" ht="15" hidden="false" customHeight="false" outlineLevel="0" collapsed="false">
      <c r="A52" s="22" t="s">
        <v>5</v>
      </c>
      <c r="B52" s="22" t="s">
        <v>26</v>
      </c>
      <c r="C52" s="22" t="s">
        <v>27</v>
      </c>
      <c r="D52" s="22"/>
      <c r="E52" s="22"/>
      <c r="F52" s="22"/>
      <c r="G52" s="22" t="s">
        <v>28</v>
      </c>
      <c r="H52" s="22"/>
      <c r="I52" s="2"/>
      <c r="J52" s="23" t="s">
        <v>29</v>
      </c>
      <c r="K52" s="23"/>
      <c r="L52" s="23"/>
      <c r="M52" s="23" t="s">
        <v>28</v>
      </c>
      <c r="N52" s="2"/>
      <c r="O52" s="2"/>
      <c r="P52" s="2"/>
      <c r="Q52" s="2"/>
    </row>
    <row r="53" customFormat="false" ht="15" hidden="false" customHeight="false" outlineLevel="0" collapsed="false">
      <c r="A53" s="12"/>
      <c r="B53" s="13"/>
      <c r="C53" s="13"/>
      <c r="D53" s="13"/>
      <c r="E53" s="13"/>
      <c r="F53" s="13"/>
      <c r="G53" s="14"/>
      <c r="H53" s="14"/>
      <c r="I53" s="2"/>
      <c r="J53" s="24" t="str">
        <f aca="false">設定!$B$5&amp;" 仕入れ合計"</f>
        <v>従業員A 仕入れ合計</v>
      </c>
      <c r="K53" s="24"/>
      <c r="L53" s="24"/>
      <c r="M53" s="25" t="n">
        <f aca="false">C49</f>
        <v>0</v>
      </c>
      <c r="N53" s="2"/>
      <c r="O53" s="2"/>
      <c r="P53" s="2"/>
      <c r="Q53" s="2"/>
    </row>
    <row r="54" customFormat="false" ht="15" hidden="false" customHeight="false" outlineLevel="0" collapsed="false">
      <c r="A54" s="12"/>
      <c r="B54" s="13"/>
      <c r="C54" s="13"/>
      <c r="D54" s="13"/>
      <c r="E54" s="13"/>
      <c r="F54" s="13"/>
      <c r="G54" s="14"/>
      <c r="H54" s="14"/>
      <c r="I54" s="2"/>
      <c r="J54" s="24" t="str">
        <f aca="false">設定!$B$5&amp;" 交通費合計"</f>
        <v>従業員A 交通費合計</v>
      </c>
      <c r="K54" s="24"/>
      <c r="L54" s="24"/>
      <c r="M54" s="25" t="n">
        <f aca="false">H49</f>
        <v>0</v>
      </c>
      <c r="N54" s="2"/>
      <c r="O54" s="2"/>
      <c r="P54" s="2"/>
      <c r="Q54" s="2"/>
    </row>
    <row r="55" customFormat="false" ht="15" hidden="false" customHeight="false" outlineLevel="0" collapsed="false">
      <c r="A55" s="12"/>
      <c r="B55" s="13"/>
      <c r="C55" s="13"/>
      <c r="D55" s="13"/>
      <c r="E55" s="13"/>
      <c r="F55" s="13"/>
      <c r="G55" s="14"/>
      <c r="H55" s="14"/>
      <c r="I55" s="2"/>
      <c r="J55" s="24" t="str">
        <f aca="false">設定!$B$5&amp;" 立替精算額（返金額）"</f>
        <v>従業員A 立替精算額（返金額）</v>
      </c>
      <c r="K55" s="24"/>
      <c r="L55" s="24"/>
      <c r="M55" s="25" t="n">
        <f aca="false">SUMIF(E9:E48,"○",C9:C48)+SUMIF(E9:E48,"○",H9:H48)</f>
        <v>0</v>
      </c>
      <c r="N55" s="2"/>
      <c r="O55" s="2"/>
      <c r="P55" s="2"/>
      <c r="Q55" s="2"/>
    </row>
    <row r="56" customFormat="false" ht="15" hidden="false" customHeight="false" outlineLevel="0" collapsed="false">
      <c r="A56" s="12"/>
      <c r="B56" s="13"/>
      <c r="C56" s="13"/>
      <c r="D56" s="13"/>
      <c r="E56" s="13"/>
      <c r="F56" s="13"/>
      <c r="G56" s="14"/>
      <c r="H56" s="14"/>
      <c r="I56" s="2"/>
      <c r="J56" s="24" t="str">
        <f aca="false">設定!$B$6&amp;" 仕入れ合計"</f>
        <v>従業員B 仕入れ合計</v>
      </c>
      <c r="K56" s="24"/>
      <c r="L56" s="24"/>
      <c r="M56" s="25" t="n">
        <f aca="false">L49</f>
        <v>0</v>
      </c>
      <c r="N56" s="2"/>
      <c r="O56" s="2"/>
      <c r="P56" s="2"/>
      <c r="Q56" s="2"/>
    </row>
    <row r="57" customFormat="false" ht="15" hidden="false" customHeight="false" outlineLevel="0" collapsed="false">
      <c r="A57" s="12"/>
      <c r="B57" s="13"/>
      <c r="C57" s="13"/>
      <c r="D57" s="13"/>
      <c r="E57" s="13"/>
      <c r="F57" s="13"/>
      <c r="G57" s="14"/>
      <c r="H57" s="14"/>
      <c r="I57" s="2"/>
      <c r="J57" s="24" t="str">
        <f aca="false">設定!$B$6&amp;" 交通費合計"</f>
        <v>従業員B 交通費合計</v>
      </c>
      <c r="K57" s="24"/>
      <c r="L57" s="24"/>
      <c r="M57" s="25" t="n">
        <f aca="false">Q49</f>
        <v>0</v>
      </c>
      <c r="N57" s="2"/>
      <c r="O57" s="2"/>
      <c r="P57" s="2"/>
      <c r="Q57" s="2"/>
    </row>
    <row r="58" customFormat="false" ht="15" hidden="false" customHeight="false" outlineLevel="0" collapsed="false">
      <c r="A58" s="12"/>
      <c r="B58" s="13"/>
      <c r="C58" s="13"/>
      <c r="D58" s="13"/>
      <c r="E58" s="13"/>
      <c r="F58" s="13"/>
      <c r="G58" s="14"/>
      <c r="H58" s="14"/>
      <c r="I58" s="2"/>
      <c r="J58" s="24" t="str">
        <f aca="false">設定!$B$6&amp;" 立替精算額（返金額）"</f>
        <v>従業員B 立替精算額（返金額）</v>
      </c>
      <c r="K58" s="24"/>
      <c r="L58" s="24"/>
      <c r="M58" s="25" t="n">
        <f aca="false">SUMIF(N9:N48,"○",L9:L48)+SUMIF(N9:N48,"○",Q9:Q48)</f>
        <v>0</v>
      </c>
      <c r="N58" s="2"/>
      <c r="O58" s="2"/>
      <c r="P58" s="2"/>
      <c r="Q58" s="2"/>
    </row>
    <row r="59" customFormat="false" ht="15" hidden="false" customHeight="false" outlineLevel="0" collapsed="false">
      <c r="A59" s="12"/>
      <c r="B59" s="13"/>
      <c r="C59" s="13"/>
      <c r="D59" s="13"/>
      <c r="E59" s="13"/>
      <c r="F59" s="13"/>
      <c r="G59" s="14"/>
      <c r="H59" s="14"/>
      <c r="I59" s="2"/>
      <c r="J59" s="24" t="str">
        <f aca="false">"共通経費　送料"</f>
        <v>共通経費　送料</v>
      </c>
      <c r="K59" s="24"/>
      <c r="L59" s="24"/>
      <c r="M59" s="25" t="n">
        <f aca="false">SUMIF(B53:B60,"送料",G53:G60)</f>
        <v>0</v>
      </c>
      <c r="N59" s="2"/>
      <c r="O59" s="2"/>
      <c r="P59" s="2"/>
      <c r="Q59" s="2"/>
    </row>
    <row r="60" customFormat="false" ht="15" hidden="false" customHeight="false" outlineLevel="0" collapsed="false">
      <c r="A60" s="12"/>
      <c r="B60" s="13"/>
      <c r="C60" s="13"/>
      <c r="D60" s="13"/>
      <c r="E60" s="13"/>
      <c r="F60" s="13"/>
      <c r="G60" s="14"/>
      <c r="H60" s="14"/>
      <c r="I60" s="2"/>
      <c r="J60" s="24" t="str">
        <f aca="false">"共通経費　その他経費"</f>
        <v>共通経費　その他経費</v>
      </c>
      <c r="K60" s="24"/>
      <c r="L60" s="24"/>
      <c r="M60" s="25" t="n">
        <f aca="false">SUMIF(B53:B60,"その他経費",G53:G60)</f>
        <v>0</v>
      </c>
      <c r="N60" s="2"/>
      <c r="O60" s="2"/>
      <c r="P60" s="2"/>
      <c r="Q60" s="2"/>
    </row>
    <row r="61" customFormat="false" ht="15" hidden="false" customHeight="false" outlineLevel="0" collapsed="false">
      <c r="A61" s="26" t="s">
        <v>34</v>
      </c>
      <c r="B61" s="26"/>
      <c r="C61" s="26"/>
      <c r="D61" s="26"/>
      <c r="E61" s="26"/>
      <c r="F61" s="26"/>
      <c r="G61" s="27" t="n">
        <f aca="false">SUM(G53:G60)</f>
        <v>0</v>
      </c>
      <c r="H61" s="27"/>
      <c r="I61" s="2"/>
      <c r="J61" s="28" t="s">
        <v>35</v>
      </c>
      <c r="K61" s="28"/>
      <c r="L61" s="28"/>
      <c r="M61" s="29" t="n">
        <f aca="false">M53+M54+M56+M57+G61</f>
        <v>0</v>
      </c>
      <c r="N61" s="2"/>
      <c r="O61" s="2"/>
      <c r="P61" s="2"/>
      <c r="Q61" s="2"/>
    </row>
  </sheetData>
  <mergeCells count="36">
    <mergeCell ref="A7:H7"/>
    <mergeCell ref="J7:Q7"/>
    <mergeCell ref="A49:B49"/>
    <mergeCell ref="J49:K49"/>
    <mergeCell ref="A51:H51"/>
    <mergeCell ref="J51:M51"/>
    <mergeCell ref="C52:F52"/>
    <mergeCell ref="G52:H52"/>
    <mergeCell ref="J52:L52"/>
    <mergeCell ref="C53:F53"/>
    <mergeCell ref="G53:H53"/>
    <mergeCell ref="J53:L53"/>
    <mergeCell ref="C54:F54"/>
    <mergeCell ref="G54:H54"/>
    <mergeCell ref="J54:L54"/>
    <mergeCell ref="C55:F55"/>
    <mergeCell ref="G55:H55"/>
    <mergeCell ref="J55:L55"/>
    <mergeCell ref="C56:F56"/>
    <mergeCell ref="G56:H56"/>
    <mergeCell ref="J56:L56"/>
    <mergeCell ref="C57:F57"/>
    <mergeCell ref="G57:H57"/>
    <mergeCell ref="J57:L57"/>
    <mergeCell ref="C58:F58"/>
    <mergeCell ref="G58:H58"/>
    <mergeCell ref="J58:L58"/>
    <mergeCell ref="C59:F59"/>
    <mergeCell ref="G59:H59"/>
    <mergeCell ref="J59:L59"/>
    <mergeCell ref="C60:F60"/>
    <mergeCell ref="G60:H60"/>
    <mergeCell ref="J60:L60"/>
    <mergeCell ref="A61:F61"/>
    <mergeCell ref="G61:H61"/>
    <mergeCell ref="J61:L61"/>
  </mergeCells>
  <dataValidations count="3">
    <dataValidation allowBlank="true" errorStyle="stop" operator="between" prompt="従業員が立て替えた行のみ ○ を入力してください。" promptTitle="立替" showDropDown="false" showErrorMessage="false" showInputMessage="false" sqref="E9:E48 N9:N48" type="list">
      <formula1>"○"</formula1>
      <formula2>0</formula2>
    </dataValidation>
    <dataValidation allowBlank="true" errorStyle="stop" operator="between" prompt="現金／クレジットカード等を選択してください。" promptTitle="支払方法" showDropDown="false" showErrorMessage="false" showInputMessage="false" sqref="D9:D48 M9:M48" type="list">
      <formula1>設定!$D$5:$D$10</formula1>
      <formula2>0</formula2>
    </dataValidation>
    <dataValidation allowBlank="true" errorStyle="stop" operator="between" prompt="送料／その他経費 を選択してください。" promptTitle="経費区分" showDropDown="false" showErrorMessage="false" showInputMessage="false" sqref="B53:B60" type="list">
      <formula1>設定!$F$5:$F$6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0" min="2" style="0" width="15"/>
  </cols>
  <sheetData>
    <row r="1" customFormat="false" ht="19.4" hidden="false" customHeight="false" outlineLevel="0" collapsed="false">
      <c r="A1" s="30" t="s">
        <v>47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48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31.5" hidden="false" customHeight="true" outlineLevel="0" collapsed="false">
      <c r="A4" s="31" t="s">
        <v>49</v>
      </c>
      <c r="B4" s="32" t="s">
        <v>50</v>
      </c>
      <c r="C4" s="32" t="s">
        <v>51</v>
      </c>
      <c r="D4" s="32" t="s">
        <v>52</v>
      </c>
      <c r="E4" s="32" t="s">
        <v>53</v>
      </c>
      <c r="F4" s="32" t="s">
        <v>54</v>
      </c>
      <c r="G4" s="32" t="s">
        <v>55</v>
      </c>
      <c r="H4" s="31" t="s">
        <v>56</v>
      </c>
      <c r="I4" s="31" t="s">
        <v>57</v>
      </c>
      <c r="J4" s="31" t="s">
        <v>35</v>
      </c>
    </row>
    <row r="5" customFormat="false" ht="15" hidden="false" customHeight="false" outlineLevel="0" collapsed="false">
      <c r="A5" s="33" t="s">
        <v>58</v>
      </c>
      <c r="B5" s="25" t="n">
        <f aca="false">2026年08月!M53</f>
        <v>45000</v>
      </c>
      <c r="C5" s="25" t="n">
        <f aca="false">2026年08月!M54</f>
        <v>680</v>
      </c>
      <c r="D5" s="25" t="n">
        <f aca="false">2026年08月!M55</f>
        <v>45680</v>
      </c>
      <c r="E5" s="25" t="n">
        <f aca="false">2026年08月!M56</f>
        <v>128000</v>
      </c>
      <c r="F5" s="25" t="n">
        <f aca="false">2026年08月!M57</f>
        <v>640</v>
      </c>
      <c r="G5" s="25" t="n">
        <f aca="false">2026年08月!M58</f>
        <v>0</v>
      </c>
      <c r="H5" s="25" t="n">
        <f aca="false">2026年08月!M59</f>
        <v>2600</v>
      </c>
      <c r="I5" s="25" t="n">
        <f aca="false">2026年08月!M60</f>
        <v>3480</v>
      </c>
      <c r="J5" s="25" t="n">
        <f aca="false">2026年08月!M61</f>
        <v>180400</v>
      </c>
    </row>
    <row r="6" customFormat="false" ht="15" hidden="false" customHeight="false" outlineLevel="0" collapsed="false">
      <c r="A6" s="33" t="s">
        <v>59</v>
      </c>
      <c r="B6" s="25" t="n">
        <f aca="false">2026年09月!M53</f>
        <v>0</v>
      </c>
      <c r="C6" s="25" t="n">
        <f aca="false">2026年09月!M54</f>
        <v>0</v>
      </c>
      <c r="D6" s="25" t="n">
        <f aca="false">2026年09月!M55</f>
        <v>0</v>
      </c>
      <c r="E6" s="25" t="n">
        <f aca="false">2026年09月!M56</f>
        <v>0</v>
      </c>
      <c r="F6" s="25" t="n">
        <f aca="false">2026年09月!M57</f>
        <v>0</v>
      </c>
      <c r="G6" s="25" t="n">
        <f aca="false">2026年09月!M58</f>
        <v>0</v>
      </c>
      <c r="H6" s="25" t="n">
        <f aca="false">2026年09月!M59</f>
        <v>0</v>
      </c>
      <c r="I6" s="25" t="n">
        <f aca="false">2026年09月!M60</f>
        <v>0</v>
      </c>
      <c r="J6" s="25" t="n">
        <f aca="false">2026年09月!M61</f>
        <v>0</v>
      </c>
    </row>
    <row r="7" customFormat="false" ht="15" hidden="false" customHeight="false" outlineLevel="0" collapsed="false">
      <c r="A7" s="33" t="s">
        <v>60</v>
      </c>
      <c r="B7" s="25" t="n">
        <f aca="false">2026年10月!M53</f>
        <v>0</v>
      </c>
      <c r="C7" s="25" t="n">
        <f aca="false">2026年10月!M54</f>
        <v>0</v>
      </c>
      <c r="D7" s="25" t="n">
        <f aca="false">2026年10月!M55</f>
        <v>0</v>
      </c>
      <c r="E7" s="25" t="n">
        <f aca="false">2026年10月!M56</f>
        <v>0</v>
      </c>
      <c r="F7" s="25" t="n">
        <f aca="false">2026年10月!M57</f>
        <v>0</v>
      </c>
      <c r="G7" s="25" t="n">
        <f aca="false">2026年10月!M58</f>
        <v>0</v>
      </c>
      <c r="H7" s="25" t="n">
        <f aca="false">2026年10月!M59</f>
        <v>0</v>
      </c>
      <c r="I7" s="25" t="n">
        <f aca="false">2026年10月!M60</f>
        <v>0</v>
      </c>
      <c r="J7" s="25" t="n">
        <f aca="false">2026年10月!M61</f>
        <v>0</v>
      </c>
    </row>
    <row r="8" customFormat="false" ht="15" hidden="false" customHeight="false" outlineLevel="0" collapsed="false">
      <c r="A8" s="33" t="s">
        <v>61</v>
      </c>
      <c r="B8" s="25" t="n">
        <f aca="false">2026年11月!M53</f>
        <v>0</v>
      </c>
      <c r="C8" s="25" t="n">
        <f aca="false">2026年11月!M54</f>
        <v>0</v>
      </c>
      <c r="D8" s="25" t="n">
        <f aca="false">2026年11月!M55</f>
        <v>0</v>
      </c>
      <c r="E8" s="25" t="n">
        <f aca="false">2026年11月!M56</f>
        <v>0</v>
      </c>
      <c r="F8" s="25" t="n">
        <f aca="false">2026年11月!M57</f>
        <v>0</v>
      </c>
      <c r="G8" s="25" t="n">
        <f aca="false">2026年11月!M58</f>
        <v>0</v>
      </c>
      <c r="H8" s="25" t="n">
        <f aca="false">2026年11月!M59</f>
        <v>0</v>
      </c>
      <c r="I8" s="25" t="n">
        <f aca="false">2026年11月!M60</f>
        <v>0</v>
      </c>
      <c r="J8" s="25" t="n">
        <f aca="false">2026年11月!M61</f>
        <v>0</v>
      </c>
    </row>
    <row r="9" customFormat="false" ht="15" hidden="false" customHeight="false" outlineLevel="0" collapsed="false">
      <c r="A9" s="33" t="s">
        <v>62</v>
      </c>
      <c r="B9" s="25" t="n">
        <f aca="false">2026年12月!M53</f>
        <v>0</v>
      </c>
      <c r="C9" s="25" t="n">
        <f aca="false">2026年12月!M54</f>
        <v>0</v>
      </c>
      <c r="D9" s="25" t="n">
        <f aca="false">2026年12月!M55</f>
        <v>0</v>
      </c>
      <c r="E9" s="25" t="n">
        <f aca="false">2026年12月!M56</f>
        <v>0</v>
      </c>
      <c r="F9" s="25" t="n">
        <f aca="false">2026年12月!M57</f>
        <v>0</v>
      </c>
      <c r="G9" s="25" t="n">
        <f aca="false">2026年12月!M58</f>
        <v>0</v>
      </c>
      <c r="H9" s="25" t="n">
        <f aca="false">2026年12月!M59</f>
        <v>0</v>
      </c>
      <c r="I9" s="25" t="n">
        <f aca="false">2026年12月!M60</f>
        <v>0</v>
      </c>
      <c r="J9" s="25" t="n">
        <f aca="false">2026年12月!M61</f>
        <v>0</v>
      </c>
    </row>
    <row r="10" customFormat="false" ht="15" hidden="false" customHeight="false" outlineLevel="0" collapsed="false">
      <c r="A10" s="33" t="s">
        <v>63</v>
      </c>
      <c r="B10" s="25" t="n">
        <f aca="false">2027年01月!M53</f>
        <v>0</v>
      </c>
      <c r="C10" s="25" t="n">
        <f aca="false">2027年01月!M54</f>
        <v>0</v>
      </c>
      <c r="D10" s="25" t="n">
        <f aca="false">2027年01月!M55</f>
        <v>0</v>
      </c>
      <c r="E10" s="25" t="n">
        <f aca="false">2027年01月!M56</f>
        <v>0</v>
      </c>
      <c r="F10" s="25" t="n">
        <f aca="false">2027年01月!M57</f>
        <v>0</v>
      </c>
      <c r="G10" s="25" t="n">
        <f aca="false">2027年01月!M58</f>
        <v>0</v>
      </c>
      <c r="H10" s="25" t="n">
        <f aca="false">2027年01月!M59</f>
        <v>0</v>
      </c>
      <c r="I10" s="25" t="n">
        <f aca="false">2027年01月!M60</f>
        <v>0</v>
      </c>
      <c r="J10" s="25" t="n">
        <f aca="false">2027年01月!M61</f>
        <v>0</v>
      </c>
    </row>
    <row r="11" customFormat="false" ht="15" hidden="false" customHeight="false" outlineLevel="0" collapsed="false">
      <c r="A11" s="33" t="s">
        <v>64</v>
      </c>
      <c r="B11" s="25" t="n">
        <f aca="false">2027年02月!M53</f>
        <v>0</v>
      </c>
      <c r="C11" s="25" t="n">
        <f aca="false">2027年02月!M54</f>
        <v>0</v>
      </c>
      <c r="D11" s="25" t="n">
        <f aca="false">2027年02月!M55</f>
        <v>0</v>
      </c>
      <c r="E11" s="25" t="n">
        <f aca="false">2027年02月!M56</f>
        <v>0</v>
      </c>
      <c r="F11" s="25" t="n">
        <f aca="false">2027年02月!M57</f>
        <v>0</v>
      </c>
      <c r="G11" s="25" t="n">
        <f aca="false">2027年02月!M58</f>
        <v>0</v>
      </c>
      <c r="H11" s="25" t="n">
        <f aca="false">2027年02月!M59</f>
        <v>0</v>
      </c>
      <c r="I11" s="25" t="n">
        <f aca="false">2027年02月!M60</f>
        <v>0</v>
      </c>
      <c r="J11" s="25" t="n">
        <f aca="false">2027年02月!M61</f>
        <v>0</v>
      </c>
    </row>
    <row r="12" customFormat="false" ht="15" hidden="false" customHeight="false" outlineLevel="0" collapsed="false">
      <c r="A12" s="33" t="s">
        <v>65</v>
      </c>
      <c r="B12" s="25" t="n">
        <f aca="false">2027年03月!M53</f>
        <v>0</v>
      </c>
      <c r="C12" s="25" t="n">
        <f aca="false">2027年03月!M54</f>
        <v>0</v>
      </c>
      <c r="D12" s="25" t="n">
        <f aca="false">2027年03月!M55</f>
        <v>0</v>
      </c>
      <c r="E12" s="25" t="n">
        <f aca="false">2027年03月!M56</f>
        <v>0</v>
      </c>
      <c r="F12" s="25" t="n">
        <f aca="false">2027年03月!M57</f>
        <v>0</v>
      </c>
      <c r="G12" s="25" t="n">
        <f aca="false">2027年03月!M58</f>
        <v>0</v>
      </c>
      <c r="H12" s="25" t="n">
        <f aca="false">2027年03月!M59</f>
        <v>0</v>
      </c>
      <c r="I12" s="25" t="n">
        <f aca="false">2027年03月!M60</f>
        <v>0</v>
      </c>
      <c r="J12" s="25" t="n">
        <f aca="false">2027年03月!M61</f>
        <v>0</v>
      </c>
    </row>
    <row r="13" customFormat="false" ht="15" hidden="false" customHeight="false" outlineLevel="0" collapsed="false">
      <c r="A13" s="33" t="s">
        <v>66</v>
      </c>
      <c r="B13" s="25" t="n">
        <f aca="false">2027年04月!M53</f>
        <v>0</v>
      </c>
      <c r="C13" s="25" t="n">
        <f aca="false">2027年04月!M54</f>
        <v>0</v>
      </c>
      <c r="D13" s="25" t="n">
        <f aca="false">2027年04月!M55</f>
        <v>0</v>
      </c>
      <c r="E13" s="25" t="n">
        <f aca="false">2027年04月!M56</f>
        <v>0</v>
      </c>
      <c r="F13" s="25" t="n">
        <f aca="false">2027年04月!M57</f>
        <v>0</v>
      </c>
      <c r="G13" s="25" t="n">
        <f aca="false">2027年04月!M58</f>
        <v>0</v>
      </c>
      <c r="H13" s="25" t="n">
        <f aca="false">2027年04月!M59</f>
        <v>0</v>
      </c>
      <c r="I13" s="25" t="n">
        <f aca="false">2027年04月!M60</f>
        <v>0</v>
      </c>
      <c r="J13" s="25" t="n">
        <f aca="false">2027年04月!M61</f>
        <v>0</v>
      </c>
    </row>
    <row r="14" customFormat="false" ht="15" hidden="false" customHeight="false" outlineLevel="0" collapsed="false">
      <c r="A14" s="33" t="s">
        <v>67</v>
      </c>
      <c r="B14" s="25" t="n">
        <f aca="false">2027年05月!M53</f>
        <v>0</v>
      </c>
      <c r="C14" s="25" t="n">
        <f aca="false">2027年05月!M54</f>
        <v>0</v>
      </c>
      <c r="D14" s="25" t="n">
        <f aca="false">2027年05月!M55</f>
        <v>0</v>
      </c>
      <c r="E14" s="25" t="n">
        <f aca="false">2027年05月!M56</f>
        <v>0</v>
      </c>
      <c r="F14" s="25" t="n">
        <f aca="false">2027年05月!M57</f>
        <v>0</v>
      </c>
      <c r="G14" s="25" t="n">
        <f aca="false">2027年05月!M58</f>
        <v>0</v>
      </c>
      <c r="H14" s="25" t="n">
        <f aca="false">2027年05月!M59</f>
        <v>0</v>
      </c>
      <c r="I14" s="25" t="n">
        <f aca="false">2027年05月!M60</f>
        <v>0</v>
      </c>
      <c r="J14" s="25" t="n">
        <f aca="false">2027年05月!M61</f>
        <v>0</v>
      </c>
    </row>
    <row r="15" customFormat="false" ht="15" hidden="false" customHeight="false" outlineLevel="0" collapsed="false">
      <c r="A15" s="33" t="s">
        <v>68</v>
      </c>
      <c r="B15" s="25" t="n">
        <f aca="false">2027年06月!M53</f>
        <v>0</v>
      </c>
      <c r="C15" s="25" t="n">
        <f aca="false">2027年06月!M54</f>
        <v>0</v>
      </c>
      <c r="D15" s="25" t="n">
        <f aca="false">2027年06月!M55</f>
        <v>0</v>
      </c>
      <c r="E15" s="25" t="n">
        <f aca="false">2027年06月!M56</f>
        <v>0</v>
      </c>
      <c r="F15" s="25" t="n">
        <f aca="false">2027年06月!M57</f>
        <v>0</v>
      </c>
      <c r="G15" s="25" t="n">
        <f aca="false">2027年06月!M58</f>
        <v>0</v>
      </c>
      <c r="H15" s="25" t="n">
        <f aca="false">2027年06月!M59</f>
        <v>0</v>
      </c>
      <c r="I15" s="25" t="n">
        <f aca="false">2027年06月!M60</f>
        <v>0</v>
      </c>
      <c r="J15" s="25" t="n">
        <f aca="false">2027年06月!M61</f>
        <v>0</v>
      </c>
    </row>
    <row r="16" customFormat="false" ht="15" hidden="false" customHeight="false" outlineLevel="0" collapsed="false">
      <c r="A16" s="33" t="s">
        <v>69</v>
      </c>
      <c r="B16" s="25" t="n">
        <f aca="false">2027年07月!M53</f>
        <v>0</v>
      </c>
      <c r="C16" s="25" t="n">
        <f aca="false">2027年07月!M54</f>
        <v>0</v>
      </c>
      <c r="D16" s="25" t="n">
        <f aca="false">2027年07月!M55</f>
        <v>0</v>
      </c>
      <c r="E16" s="25" t="n">
        <f aca="false">2027年07月!M56</f>
        <v>0</v>
      </c>
      <c r="F16" s="25" t="n">
        <f aca="false">2027年07月!M57</f>
        <v>0</v>
      </c>
      <c r="G16" s="25" t="n">
        <f aca="false">2027年07月!M58</f>
        <v>0</v>
      </c>
      <c r="H16" s="25" t="n">
        <f aca="false">2027年07月!M59</f>
        <v>0</v>
      </c>
      <c r="I16" s="25" t="n">
        <f aca="false">2027年07月!M60</f>
        <v>0</v>
      </c>
      <c r="J16" s="25" t="n">
        <f aca="false">2027年07月!M61</f>
        <v>0</v>
      </c>
    </row>
    <row r="17" customFormat="false" ht="15" hidden="false" customHeight="false" outlineLevel="0" collapsed="false">
      <c r="A17" s="28" t="s">
        <v>70</v>
      </c>
      <c r="B17" s="29" t="n">
        <f aca="false">SUM(B5:B16)</f>
        <v>45000</v>
      </c>
      <c r="C17" s="29" t="n">
        <f aca="false">SUM(C5:C16)</f>
        <v>680</v>
      </c>
      <c r="D17" s="29" t="n">
        <f aca="false">SUM(D5:D16)</f>
        <v>45680</v>
      </c>
      <c r="E17" s="29" t="n">
        <f aca="false">SUM(E5:E16)</f>
        <v>128000</v>
      </c>
      <c r="F17" s="29" t="n">
        <f aca="false">SUM(F5:F16)</f>
        <v>640</v>
      </c>
      <c r="G17" s="29" t="n">
        <f aca="false">SUM(G5:G16)</f>
        <v>0</v>
      </c>
      <c r="H17" s="29" t="n">
        <f aca="false">SUM(H5:H16)</f>
        <v>2600</v>
      </c>
      <c r="I17" s="29" t="n">
        <f aca="false">SUM(I5:I16)</f>
        <v>3480</v>
      </c>
      <c r="J17" s="29" t="n">
        <f aca="false">SUM(J5:J16)</f>
        <v>180400</v>
      </c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customFormat="false" ht="15" hidden="false" customHeight="false" outlineLevel="0" collapsed="false">
      <c r="A19" s="3" t="s">
        <v>71</v>
      </c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5" hidden="false" customHeight="false" outlineLevel="0" collapsed="false">
      <c r="A20" s="3" t="s">
        <v>72</v>
      </c>
      <c r="B20" s="2"/>
      <c r="C20" s="2"/>
      <c r="D20" s="2"/>
      <c r="E20" s="2"/>
      <c r="F20" s="2"/>
      <c r="G20" s="2"/>
      <c r="H20" s="2"/>
      <c r="I20" s="2"/>
      <c r="J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6"/>
    <col collapsed="false" customWidth="true" hidden="false" outlineLevel="0" max="4" min="4" style="0" width="18"/>
    <col collapsed="false" customWidth="true" hidden="false" outlineLevel="0" max="5" min="5" style="0" width="3"/>
    <col collapsed="false" customWidth="true" hidden="false" outlineLevel="0" max="6" min="6" style="0" width="16"/>
    <col collapsed="false" customWidth="true" hidden="false" outlineLevel="0" max="7" min="7" style="0" width="3"/>
    <col collapsed="false" customWidth="true" hidden="false" outlineLevel="0" max="8" min="8" style="0" width="8"/>
  </cols>
  <sheetData>
    <row r="1" customFormat="false" ht="19.4" hidden="false" customHeight="false" outlineLevel="0" collapsed="false">
      <c r="A1" s="30" t="s">
        <v>73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74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4" t="s">
        <v>75</v>
      </c>
      <c r="C4" s="2"/>
      <c r="D4" s="4" t="s">
        <v>8</v>
      </c>
      <c r="E4" s="2"/>
      <c r="F4" s="4" t="s">
        <v>76</v>
      </c>
      <c r="G4" s="2"/>
      <c r="H4" s="4" t="s">
        <v>77</v>
      </c>
    </row>
    <row r="5" customFormat="false" ht="15" hidden="false" customHeight="false" outlineLevel="0" collapsed="false">
      <c r="A5" s="2"/>
      <c r="B5" s="34" t="s">
        <v>78</v>
      </c>
      <c r="C5" s="2"/>
      <c r="D5" s="34" t="s">
        <v>14</v>
      </c>
      <c r="E5" s="2"/>
      <c r="F5" s="34" t="s">
        <v>30</v>
      </c>
      <c r="G5" s="2"/>
      <c r="H5" s="15" t="s">
        <v>15</v>
      </c>
    </row>
    <row r="6" customFormat="false" ht="15" hidden="false" customHeight="false" outlineLevel="0" collapsed="false">
      <c r="A6" s="2"/>
      <c r="B6" s="34" t="s">
        <v>79</v>
      </c>
      <c r="C6" s="2"/>
      <c r="D6" s="34" t="s">
        <v>19</v>
      </c>
      <c r="E6" s="2"/>
      <c r="F6" s="34" t="s">
        <v>32</v>
      </c>
      <c r="G6" s="2"/>
      <c r="H6" s="2"/>
    </row>
    <row r="7" customFormat="false" ht="15" hidden="false" customHeight="false" outlineLevel="0" collapsed="false">
      <c r="A7" s="2"/>
      <c r="B7" s="2"/>
      <c r="C7" s="2"/>
      <c r="D7" s="34" t="s">
        <v>80</v>
      </c>
      <c r="E7" s="2"/>
      <c r="F7" s="2"/>
      <c r="G7" s="2"/>
      <c r="H7" s="2"/>
    </row>
    <row r="8" customFormat="false" ht="15" hidden="false" customHeight="false" outlineLevel="0" collapsed="false">
      <c r="A8" s="2"/>
      <c r="B8" s="2"/>
      <c r="C8" s="2"/>
      <c r="D8" s="13" t="s">
        <v>81</v>
      </c>
      <c r="E8" s="2"/>
      <c r="F8" s="2"/>
      <c r="G8" s="2"/>
      <c r="H8" s="2"/>
    </row>
    <row r="9" customFormat="false" ht="15" hidden="false" customHeight="false" outlineLevel="0" collapsed="false">
      <c r="A9" s="2"/>
      <c r="B9" s="2"/>
      <c r="C9" s="2"/>
      <c r="D9" s="34" t="s">
        <v>82</v>
      </c>
      <c r="E9" s="2"/>
      <c r="F9" s="2"/>
      <c r="G9" s="2"/>
      <c r="H9" s="2"/>
    </row>
    <row r="10" customFormat="false" ht="15" hidden="false" customHeight="false" outlineLevel="0" collapsed="false">
      <c r="A10" s="2"/>
      <c r="B10" s="2"/>
      <c r="C10" s="2"/>
      <c r="D10" s="34" t="s">
        <v>83</v>
      </c>
      <c r="E10" s="2"/>
      <c r="F10" s="2"/>
      <c r="G10" s="2"/>
      <c r="H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</row>
    <row r="12" customFormat="false" ht="15" hidden="false" customHeight="false" outlineLevel="0" collapsed="false">
      <c r="A12" s="35" t="s">
        <v>84</v>
      </c>
      <c r="B12" s="36" t="s">
        <v>85</v>
      </c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3" t="s">
        <v>86</v>
      </c>
      <c r="B13" s="2"/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3" t="s">
        <v>87</v>
      </c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3" t="s">
        <v>88</v>
      </c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3" t="s">
        <v>89</v>
      </c>
      <c r="B16" s="2"/>
      <c r="C16" s="2"/>
      <c r="D16" s="2"/>
      <c r="E16" s="2"/>
      <c r="F16" s="2"/>
      <c r="G16" s="2"/>
      <c r="H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2026-08-20T11:24:50Z</dcterms:created>
  <dc:creator>openpyxl</dc:creator>
  <dc:description/>
  <dc:language>en-US</dc:language>
  <cp:lastModifiedBy/>
  <dcterms:modified xsi:type="dcterms:W3CDTF">2026-08-20T11:24:51Z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