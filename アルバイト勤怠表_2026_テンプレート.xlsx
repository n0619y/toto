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5"/>
  </bookViews>
  <sheets>
    <sheet name="税額表" sheetId="1" state="hidden" r:id="rId3"/>
    <sheet name="1月" sheetId="2" state="visible" r:id="rId4"/>
    <sheet name="2月" sheetId="3" state="visible" r:id="rId5"/>
    <sheet name="3月" sheetId="4" state="visible" r:id="rId6"/>
    <sheet name="4月" sheetId="5" state="visible" r:id="rId7"/>
    <sheet name="5月" sheetId="6" state="visible" r:id="rId8"/>
    <sheet name="6月" sheetId="7" state="visible" r:id="rId9"/>
    <sheet name="7月" sheetId="8" state="visible" r:id="rId10"/>
    <sheet name="8月" sheetId="9" state="visible" r:id="rId11"/>
    <sheet name="9月" sheetId="10" state="visible" r:id="rId12"/>
    <sheet name="10月" sheetId="11" state="visible" r:id="rId13"/>
    <sheet name="11月" sheetId="12" state="visible" r:id="rId14"/>
    <sheet name="12月" sheetId="13" state="visible" r:id="rId15"/>
  </sheets>
  <definedNames>
    <definedName function="false" hidden="false" localSheetId="10" name="_xlnm.Print_Titles" vbProcedure="false">10月!$1:$3</definedName>
    <definedName function="false" hidden="false" localSheetId="11" name="_xlnm.Print_Titles" vbProcedure="false">11月!$1:$3</definedName>
    <definedName function="false" hidden="false" localSheetId="12" name="_xlnm.Print_Titles" vbProcedure="false">12月!$1:$3</definedName>
    <definedName function="false" hidden="false" localSheetId="1" name="_xlnm.Print_Titles" vbProcedure="false">1月!$1:$3</definedName>
    <definedName function="false" hidden="false" localSheetId="2" name="_xlnm.Print_Titles" vbProcedure="false">2月!$1:$3</definedName>
    <definedName function="false" hidden="false" localSheetId="4" name="_xlnm.Print_Titles" vbProcedure="false">4月!$1:$3</definedName>
    <definedName function="false" hidden="false" localSheetId="5" name="_xlnm.Print_Titles" vbProcedure="false">5月!$1:$3</definedName>
    <definedName function="false" hidden="false" localSheetId="6" name="_xlnm.Print_Titles" vbProcedure="false">6月!$1:$3</definedName>
    <definedName function="false" hidden="false" localSheetId="7" name="_xlnm.Print_Titles" vbProcedure="false">7月!$1:$3</definedName>
    <definedName function="false" hidden="false" localSheetId="8" name="_xlnm.Print_Titles" vbProcedure="false">8月!$1:$3</definedName>
    <definedName function="false" hidden="false" localSheetId="9" name="_xlnm.Print_Titles" vbProcedure="false">9月!$1:$3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<sst xmlns="http://schemas.openxmlformats.org/spreadsheetml/2006/main" count="1200" uniqueCount="425">
  <si>
    <t xml:space="preserve">月額給与（円以上）</t>
  </si>
  <si>
    <t xml:space="preserve">源泉所得税額（乙欄）</t>
  </si>
  <si>
    <r>
      <rPr>
        <b val="true"/>
        <sz val="16"/>
        <color rgb="FFFFFFFF"/>
        <rFont val="メイリオ"/>
        <family val="3"/>
        <charset val="128"/>
      </rPr>
      <t xml:space="preserve">2026</t>
    </r>
    <r>
      <rPr>
        <b val="true"/>
        <sz val="16"/>
        <color rgb="FFFFFFFF"/>
        <rFont val="WenQuanYi Zen Hei"/>
        <family val="2"/>
      </rPr>
      <t xml:space="preserve">年  </t>
    </r>
    <r>
      <rPr>
        <b val="true"/>
        <sz val="16"/>
        <color rgb="FFFFFFFF"/>
        <rFont val="メイリオ"/>
        <family val="3"/>
        <charset val="128"/>
      </rPr>
      <t xml:space="preserve">1</t>
    </r>
    <r>
      <rPr>
        <b val="true"/>
        <sz val="16"/>
        <color rgb="FFFFFFFF"/>
        <rFont val="WenQuanYi Zen Hei"/>
        <family val="2"/>
      </rPr>
      <t xml:space="preserve">月  アルバイト勤怠表</t>
    </r>
  </si>
  <si>
    <t xml:space="preserve">従業員名</t>
  </si>
  <si>
    <t xml:space="preserve">仲本 正</t>
  </si>
  <si>
    <t xml:space="preserve">時 給</t>
  </si>
  <si>
    <t xml:space="preserve">（税区分：乙欄　雇用保険なし）</t>
  </si>
  <si>
    <t xml:space="preserve">日
付</t>
  </si>
  <si>
    <t xml:space="preserve">曜
日</t>
  </si>
  <si>
    <t xml:space="preserve">勤務
開始時刻</t>
  </si>
  <si>
    <t xml:space="preserve">勤務
終了時刻</t>
  </si>
  <si>
    <r>
      <rPr>
        <b val="true"/>
        <sz val="9"/>
        <color rgb="FF000000"/>
        <rFont val="WenQuanYi Zen Hei"/>
        <family val="2"/>
      </rPr>
      <t xml:space="preserve">勤務時間
</t>
    </r>
    <r>
      <rPr>
        <b val="true"/>
        <sz val="9"/>
        <color rgb="FF000000"/>
        <rFont val="メイリオ"/>
        <family val="3"/>
        <charset val="128"/>
      </rPr>
      <t xml:space="preserve">(h)</t>
    </r>
  </si>
  <si>
    <r>
      <rPr>
        <b val="true"/>
        <sz val="9"/>
        <color rgb="FF000000"/>
        <rFont val="WenQuanYi Zen Hei"/>
        <family val="2"/>
      </rPr>
      <t xml:space="preserve">給与
</t>
    </r>
    <r>
      <rPr>
        <b val="true"/>
        <sz val="9"/>
        <color rgb="FF000000"/>
        <rFont val="メイリオ"/>
        <family val="3"/>
        <charset val="128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メイリオ"/>
        <family val="3"/>
        <charset val="128"/>
      </rPr>
      <t xml:space="preserve">)</t>
    </r>
  </si>
  <si>
    <t xml:space="preserve">勤務
エリア</t>
  </si>
  <si>
    <t xml:space="preserve">通勤
手段</t>
  </si>
  <si>
    <r>
      <rPr>
        <b val="true"/>
        <sz val="9"/>
        <color rgb="FF000000"/>
        <rFont val="WenQuanYi Zen Hei"/>
        <family val="2"/>
      </rPr>
      <t xml:space="preserve">往復
交通費</t>
    </r>
    <r>
      <rPr>
        <b val="true"/>
        <sz val="9"/>
        <color rgb="FF000000"/>
        <rFont val="メイリオ"/>
        <family val="3"/>
        <charset val="128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メイリオ"/>
        <family val="3"/>
        <charset val="128"/>
      </rPr>
      <t xml:space="preserve">)</t>
    </r>
  </si>
  <si>
    <t xml:space="preserve">仕入れ
店舗</t>
  </si>
  <si>
    <r>
      <rPr>
        <b val="true"/>
        <sz val="9"/>
        <color rgb="FF000000"/>
        <rFont val="WenQuanYi Zen Hei"/>
        <family val="2"/>
      </rPr>
      <t xml:space="preserve">仕入れ
合計金額</t>
    </r>
    <r>
      <rPr>
        <b val="true"/>
        <sz val="9"/>
        <color rgb="FF000000"/>
        <rFont val="メイリオ"/>
        <family val="3"/>
        <charset val="128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メイリオ"/>
        <family val="3"/>
        <charset val="128"/>
      </rPr>
      <t xml:space="preserve">)</t>
    </r>
  </si>
  <si>
    <t xml:space="preserve">支払
方法</t>
  </si>
  <si>
    <r>
      <rPr>
        <b val="true"/>
        <sz val="9"/>
        <color rgb="FF000000"/>
        <rFont val="WenQuanYi Zen Hei"/>
        <family val="2"/>
      </rPr>
      <t xml:space="preserve">送料
</t>
    </r>
    <r>
      <rPr>
        <b val="true"/>
        <sz val="9"/>
        <color rgb="FF000000"/>
        <rFont val="メイリオ"/>
        <family val="3"/>
        <charset val="128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メイリオ"/>
        <family val="3"/>
        <charset val="128"/>
      </rPr>
      <t xml:space="preserve">)</t>
    </r>
  </si>
  <si>
    <t xml:space="preserve">その他経費
（内容）</t>
  </si>
  <si>
    <t xml:space="preserve">その他経費
（金額円）</t>
  </si>
  <si>
    <t xml:space="preserve">1/1</t>
  </si>
  <si>
    <t xml:space="preserve">木</t>
  </si>
  <si>
    <t xml:space="preserve">1/2</t>
  </si>
  <si>
    <t xml:space="preserve">金</t>
  </si>
  <si>
    <t xml:space="preserve">1/3</t>
  </si>
  <si>
    <t xml:space="preserve">土</t>
  </si>
  <si>
    <t xml:space="preserve">1/4</t>
  </si>
  <si>
    <t xml:space="preserve">日</t>
  </si>
  <si>
    <t xml:space="preserve">1/5</t>
  </si>
  <si>
    <t xml:space="preserve">月</t>
  </si>
  <si>
    <t xml:space="preserve">1/6</t>
  </si>
  <si>
    <t xml:space="preserve">火</t>
  </si>
  <si>
    <t xml:space="preserve">1/7</t>
  </si>
  <si>
    <t xml:space="preserve">水</t>
  </si>
  <si>
    <t xml:space="preserve">1/8</t>
  </si>
  <si>
    <t xml:space="preserve">1/9</t>
  </si>
  <si>
    <t xml:space="preserve">1/10</t>
  </si>
  <si>
    <t xml:space="preserve">1/11</t>
  </si>
  <si>
    <t xml:space="preserve">1/12</t>
  </si>
  <si>
    <t xml:space="preserve">1/13</t>
  </si>
  <si>
    <t xml:space="preserve">1/14</t>
  </si>
  <si>
    <t xml:space="preserve">1/15</t>
  </si>
  <si>
    <t xml:space="preserve">1/16</t>
  </si>
  <si>
    <t xml:space="preserve">1/17</t>
  </si>
  <si>
    <t xml:space="preserve">1/18</t>
  </si>
  <si>
    <t xml:space="preserve">1/19</t>
  </si>
  <si>
    <t xml:space="preserve">1/20</t>
  </si>
  <si>
    <t xml:space="preserve">1/21</t>
  </si>
  <si>
    <t xml:space="preserve">1/22</t>
  </si>
  <si>
    <t xml:space="preserve">1/23</t>
  </si>
  <si>
    <t xml:space="preserve">1/24</t>
  </si>
  <si>
    <t xml:space="preserve">1/25</t>
  </si>
  <si>
    <t xml:space="preserve">1/26</t>
  </si>
  <si>
    <t xml:space="preserve">1/27</t>
  </si>
  <si>
    <t xml:space="preserve">1/28</t>
  </si>
  <si>
    <t xml:space="preserve">1/29</t>
  </si>
  <si>
    <t xml:space="preserve">1/30</t>
  </si>
  <si>
    <t xml:space="preserve">1/31</t>
  </si>
  <si>
    <t xml:space="preserve">■  月次集計サマリー</t>
  </si>
  <si>
    <t xml:space="preserve">勤務日数</t>
  </si>
  <si>
    <t xml:space="preserve">総勤務時間</t>
  </si>
  <si>
    <t xml:space="preserve">給与合計</t>
  </si>
  <si>
    <t xml:space="preserve">源泉所得税（乙欄）</t>
  </si>
  <si>
    <t xml:space="preserve">差引給与（税引後）</t>
  </si>
  <si>
    <t xml:space="preserve">交通費合計</t>
  </si>
  <si>
    <t xml:space="preserve">立替金（現金＋個人カード）</t>
  </si>
  <si>
    <t xml:space="preserve">送料合計</t>
  </si>
  <si>
    <t xml:space="preserve">その他経費合計</t>
  </si>
  <si>
    <t xml:space="preserve">前月繰越立替金</t>
  </si>
  <si>
    <t xml:space="preserve">総支給額（振込予定額）</t>
  </si>
  <si>
    <t xml:space="preserve">【入力セル凡例】</t>
  </si>
  <si>
    <t xml:space="preserve">平日入力</t>
  </si>
  <si>
    <t xml:space="preserve">土曜</t>
  </si>
  <si>
    <t xml:space="preserve">日曜</t>
  </si>
  <si>
    <t xml:space="preserve">送料・その他経費</t>
  </si>
  <si>
    <t xml:space="preserve">前月繰越（手入力）</t>
  </si>
  <si>
    <r>
      <rPr>
        <sz val="8"/>
        <color rgb="FF555555"/>
        <rFont val="WenQuanYi Zen Hei"/>
        <family val="2"/>
      </rPr>
      <t xml:space="preserve">【注記】① 開始・終了時刻は「</t>
    </r>
    <r>
      <rPr>
        <sz val="8"/>
        <color rgb="FF555555"/>
        <rFont val="メイリオ"/>
        <family val="3"/>
        <charset val="128"/>
      </rPr>
      <t xml:space="preserve">9:00</t>
    </r>
    <r>
      <rPr>
        <sz val="8"/>
        <color rgb="FF555555"/>
        <rFont val="WenQuanYi Zen Hei"/>
        <family val="2"/>
      </rPr>
      <t xml:space="preserve">」形式で入力　② 源泉所得税は令和</t>
    </r>
    <r>
      <rPr>
        <sz val="8"/>
        <color rgb="FF555555"/>
        <rFont val="メイリオ"/>
        <family val="3"/>
        <charset val="128"/>
      </rPr>
      <t xml:space="preserve">6</t>
    </r>
    <r>
      <rPr>
        <sz val="8"/>
        <color rgb="FF555555"/>
        <rFont val="WenQuanYi Zen Hei"/>
        <family val="2"/>
      </rPr>
      <t xml:space="preserve">年分月額表乙欄概算（詳細は国税庁</t>
    </r>
    <r>
      <rPr>
        <sz val="8"/>
        <color rgb="FF555555"/>
        <rFont val="メイリオ"/>
        <family val="3"/>
        <charset val="128"/>
      </rPr>
      <t xml:space="preserve">HP</t>
    </r>
    <r>
      <rPr>
        <sz val="8"/>
        <color rgb="FF555555"/>
        <rFont val="WenQuanYi Zen Hei"/>
        <family val="2"/>
      </rPr>
      <t xml:space="preserve">参照）　③ 立替金＝現金・個人カード支払いの仕入れ金額合計　④ 送料・その他経費も総支給額に含まれます　⑤ 前月繰越立替金は前月の立替金を自動参照（</t>
    </r>
    <r>
      <rPr>
        <sz val="8"/>
        <color rgb="FF555555"/>
        <rFont val="メイリオ"/>
        <family val="3"/>
        <charset val="128"/>
      </rPr>
      <t xml:space="preserve">1</t>
    </r>
    <r>
      <rPr>
        <sz val="8"/>
        <color rgb="FF555555"/>
        <rFont val="WenQuanYi Zen Hei"/>
        <family val="2"/>
      </rPr>
      <t xml:space="preserve">月のみ黄色セルに手入力）</t>
    </r>
  </si>
  <si>
    <r>
      <rPr>
        <b val="true"/>
        <sz val="16"/>
        <color rgb="FFFFFFFF"/>
        <rFont val="メイリオ"/>
        <family val="3"/>
        <charset val="128"/>
      </rPr>
      <t xml:space="preserve">2026</t>
    </r>
    <r>
      <rPr>
        <b val="true"/>
        <sz val="16"/>
        <color rgb="FFFFFFFF"/>
        <rFont val="WenQuanYi Zen Hei"/>
        <family val="2"/>
      </rPr>
      <t xml:space="preserve">年  </t>
    </r>
    <r>
      <rPr>
        <b val="true"/>
        <sz val="16"/>
        <color rgb="FFFFFFFF"/>
        <rFont val="メイリオ"/>
        <family val="3"/>
        <charset val="128"/>
      </rPr>
      <t xml:space="preserve">2</t>
    </r>
    <r>
      <rPr>
        <b val="true"/>
        <sz val="16"/>
        <color rgb="FFFFFFFF"/>
        <rFont val="WenQuanYi Zen Hei"/>
        <family val="2"/>
      </rPr>
      <t xml:space="preserve">月  アルバイト勤怠表</t>
    </r>
  </si>
  <si>
    <t xml:space="preserve">2/1</t>
  </si>
  <si>
    <t xml:space="preserve">2/2</t>
  </si>
  <si>
    <t xml:space="preserve">2/3</t>
  </si>
  <si>
    <t xml:space="preserve">2/4</t>
  </si>
  <si>
    <t xml:space="preserve">2/5</t>
  </si>
  <si>
    <t xml:space="preserve">2/6</t>
  </si>
  <si>
    <t xml:space="preserve">2/7</t>
  </si>
  <si>
    <t xml:space="preserve">2/8</t>
  </si>
  <si>
    <t xml:space="preserve">2/9</t>
  </si>
  <si>
    <t xml:space="preserve">2/10</t>
  </si>
  <si>
    <t xml:space="preserve">2/11</t>
  </si>
  <si>
    <t xml:space="preserve">2/12</t>
  </si>
  <si>
    <t xml:space="preserve">2/13</t>
  </si>
  <si>
    <t xml:space="preserve">2/14</t>
  </si>
  <si>
    <t xml:space="preserve">2/15</t>
  </si>
  <si>
    <t xml:space="preserve">2/16</t>
  </si>
  <si>
    <t xml:space="preserve">2/17</t>
  </si>
  <si>
    <t xml:space="preserve">2/18</t>
  </si>
  <si>
    <t xml:space="preserve">2/19</t>
  </si>
  <si>
    <t xml:space="preserve">2/20</t>
  </si>
  <si>
    <t xml:space="preserve">2/21</t>
  </si>
  <si>
    <t xml:space="preserve">2/22</t>
  </si>
  <si>
    <t xml:space="preserve">2/23</t>
  </si>
  <si>
    <t xml:space="preserve">2/24</t>
  </si>
  <si>
    <t xml:space="preserve">2/25</t>
  </si>
  <si>
    <t xml:space="preserve">2/26</t>
  </si>
  <si>
    <t xml:space="preserve">2/27</t>
  </si>
  <si>
    <t xml:space="preserve">2/28</t>
  </si>
  <si>
    <t xml:space="preserve">前月繰越（自動）</t>
  </si>
  <si>
    <r>
      <rPr>
        <b val="true"/>
        <sz val="16"/>
        <color rgb="FFFFFFFF"/>
        <rFont val="メイリオ"/>
        <family val="3"/>
        <charset val="128"/>
      </rPr>
      <t xml:space="preserve">2026</t>
    </r>
    <r>
      <rPr>
        <b val="true"/>
        <sz val="16"/>
        <color rgb="FFFFFFFF"/>
        <rFont val="WenQuanYi Zen Hei"/>
        <family val="2"/>
      </rPr>
      <t xml:space="preserve">年  </t>
    </r>
    <r>
      <rPr>
        <b val="true"/>
        <sz val="16"/>
        <color rgb="FFFFFFFF"/>
        <rFont val="メイリオ"/>
        <family val="3"/>
        <charset val="128"/>
      </rPr>
      <t xml:space="preserve">3</t>
    </r>
    <r>
      <rPr>
        <b val="true"/>
        <sz val="16"/>
        <color rgb="FFFFFFFF"/>
        <rFont val="WenQuanYi Zen Hei"/>
        <family val="2"/>
      </rPr>
      <t xml:space="preserve">月  アルバイト勤怠表</t>
    </r>
  </si>
  <si>
    <t xml:space="preserve">3/1</t>
  </si>
  <si>
    <t xml:space="preserve">3/2</t>
  </si>
  <si>
    <t xml:space="preserve">3/3</t>
  </si>
  <si>
    <t xml:space="preserve">3/4</t>
  </si>
  <si>
    <t xml:space="preserve">3/5</t>
  </si>
  <si>
    <t xml:space="preserve">3/6</t>
  </si>
  <si>
    <t xml:space="preserve">3/7</t>
  </si>
  <si>
    <t xml:space="preserve">3/8</t>
  </si>
  <si>
    <t xml:space="preserve">3/9</t>
  </si>
  <si>
    <t xml:space="preserve">3/10</t>
  </si>
  <si>
    <t xml:space="preserve">3/11</t>
  </si>
  <si>
    <t xml:space="preserve">3/12</t>
  </si>
  <si>
    <t xml:space="preserve">3/13</t>
  </si>
  <si>
    <t xml:space="preserve">3/14</t>
  </si>
  <si>
    <t xml:space="preserve">3/15</t>
  </si>
  <si>
    <t xml:space="preserve">3/16</t>
  </si>
  <si>
    <t xml:space="preserve">3/17</t>
  </si>
  <si>
    <t xml:space="preserve">3/18</t>
  </si>
  <si>
    <t xml:space="preserve">3/19</t>
  </si>
  <si>
    <t xml:space="preserve">3/20</t>
  </si>
  <si>
    <t xml:space="preserve">3/21</t>
  </si>
  <si>
    <t xml:space="preserve">3/22</t>
  </si>
  <si>
    <t xml:space="preserve">3/23</t>
  </si>
  <si>
    <t xml:space="preserve">3/24</t>
  </si>
  <si>
    <t xml:space="preserve">3/25</t>
  </si>
  <si>
    <t xml:space="preserve">3/26</t>
  </si>
  <si>
    <t xml:space="preserve">3/27</t>
  </si>
  <si>
    <t xml:space="preserve">3/28</t>
  </si>
  <si>
    <t xml:space="preserve">3/29</t>
  </si>
  <si>
    <t xml:space="preserve">3/30</t>
  </si>
  <si>
    <t xml:space="preserve">3/31</t>
  </si>
  <si>
    <r>
      <rPr>
        <b val="true"/>
        <sz val="16"/>
        <color rgb="FFFFFFFF"/>
        <rFont val="メイリオ"/>
        <family val="3"/>
        <charset val="128"/>
      </rPr>
      <t xml:space="preserve">2026</t>
    </r>
    <r>
      <rPr>
        <b val="true"/>
        <sz val="16"/>
        <color rgb="FFFFFFFF"/>
        <rFont val="WenQuanYi Zen Hei"/>
        <family val="2"/>
      </rPr>
      <t xml:space="preserve">年  </t>
    </r>
    <r>
      <rPr>
        <b val="true"/>
        <sz val="16"/>
        <color rgb="FFFFFFFF"/>
        <rFont val="メイリオ"/>
        <family val="3"/>
        <charset val="128"/>
      </rPr>
      <t xml:space="preserve">4</t>
    </r>
    <r>
      <rPr>
        <b val="true"/>
        <sz val="16"/>
        <color rgb="FFFFFFFF"/>
        <rFont val="WenQuanYi Zen Hei"/>
        <family val="2"/>
      </rPr>
      <t xml:space="preserve">月  アルバイト勤怠表</t>
    </r>
  </si>
  <si>
    <t xml:space="preserve">4/1</t>
  </si>
  <si>
    <t xml:space="preserve">4/2</t>
  </si>
  <si>
    <t xml:space="preserve">4/3</t>
  </si>
  <si>
    <t xml:space="preserve">4/4</t>
  </si>
  <si>
    <t xml:space="preserve">4/5</t>
  </si>
  <si>
    <t xml:space="preserve">4/6</t>
  </si>
  <si>
    <t xml:space="preserve">4/7</t>
  </si>
  <si>
    <t xml:space="preserve">4/8</t>
  </si>
  <si>
    <t xml:space="preserve">4/9</t>
  </si>
  <si>
    <t xml:space="preserve">4/10</t>
  </si>
  <si>
    <t xml:space="preserve">4/11</t>
  </si>
  <si>
    <t xml:space="preserve">4/12</t>
  </si>
  <si>
    <t xml:space="preserve">4/13</t>
  </si>
  <si>
    <t xml:space="preserve">4/14</t>
  </si>
  <si>
    <t xml:space="preserve">4/15</t>
  </si>
  <si>
    <t xml:space="preserve">4/16</t>
  </si>
  <si>
    <t xml:space="preserve">4/17</t>
  </si>
  <si>
    <t xml:space="preserve">4/18</t>
  </si>
  <si>
    <t xml:space="preserve">4/19</t>
  </si>
  <si>
    <t xml:space="preserve">4/20</t>
  </si>
  <si>
    <t xml:space="preserve">4/21</t>
  </si>
  <si>
    <t xml:space="preserve">4/22</t>
  </si>
  <si>
    <t xml:space="preserve">4/23</t>
  </si>
  <si>
    <t xml:space="preserve">4/24</t>
  </si>
  <si>
    <t xml:space="preserve">4/25</t>
  </si>
  <si>
    <t xml:space="preserve">4/26</t>
  </si>
  <si>
    <t xml:space="preserve">4/27</t>
  </si>
  <si>
    <t xml:space="preserve">4/28</t>
  </si>
  <si>
    <t xml:space="preserve">4/29</t>
  </si>
  <si>
    <t xml:space="preserve">4/30</t>
  </si>
  <si>
    <r>
      <rPr>
        <b val="true"/>
        <sz val="16"/>
        <color rgb="FFFFFFFF"/>
        <rFont val="メイリオ"/>
        <family val="3"/>
        <charset val="128"/>
      </rPr>
      <t xml:space="preserve">2026</t>
    </r>
    <r>
      <rPr>
        <b val="true"/>
        <sz val="16"/>
        <color rgb="FFFFFFFF"/>
        <rFont val="WenQuanYi Zen Hei"/>
        <family val="2"/>
      </rPr>
      <t xml:space="preserve">年  </t>
    </r>
    <r>
      <rPr>
        <b val="true"/>
        <sz val="16"/>
        <color rgb="FFFFFFFF"/>
        <rFont val="メイリオ"/>
        <family val="3"/>
        <charset val="128"/>
      </rPr>
      <t xml:space="preserve">5</t>
    </r>
    <r>
      <rPr>
        <b val="true"/>
        <sz val="16"/>
        <color rgb="FFFFFFFF"/>
        <rFont val="WenQuanYi Zen Hei"/>
        <family val="2"/>
      </rPr>
      <t xml:space="preserve">月  アルバイト勤怠表</t>
    </r>
  </si>
  <si>
    <t xml:space="preserve">5/1</t>
  </si>
  <si>
    <t xml:space="preserve">5/2</t>
  </si>
  <si>
    <t xml:space="preserve">5/3</t>
  </si>
  <si>
    <t xml:space="preserve">5/4</t>
  </si>
  <si>
    <t xml:space="preserve">5/5</t>
  </si>
  <si>
    <t xml:space="preserve">5/6</t>
  </si>
  <si>
    <t xml:space="preserve">5/7</t>
  </si>
  <si>
    <t xml:space="preserve">5/8</t>
  </si>
  <si>
    <t xml:space="preserve">5/9</t>
  </si>
  <si>
    <t xml:space="preserve">5/10</t>
  </si>
  <si>
    <t xml:space="preserve">5/11</t>
  </si>
  <si>
    <t xml:space="preserve">5/12</t>
  </si>
  <si>
    <t xml:space="preserve">5/13</t>
  </si>
  <si>
    <t xml:space="preserve">5/14</t>
  </si>
  <si>
    <t xml:space="preserve">5/15</t>
  </si>
  <si>
    <t xml:space="preserve">5/16</t>
  </si>
  <si>
    <t xml:space="preserve">5/17</t>
  </si>
  <si>
    <t xml:space="preserve">5/18</t>
  </si>
  <si>
    <t xml:space="preserve">5/19</t>
  </si>
  <si>
    <t xml:space="preserve">5/20</t>
  </si>
  <si>
    <t xml:space="preserve">5/21</t>
  </si>
  <si>
    <t xml:space="preserve">5/22</t>
  </si>
  <si>
    <t xml:space="preserve">5/23</t>
  </si>
  <si>
    <t xml:space="preserve">5/24</t>
  </si>
  <si>
    <t xml:space="preserve">5/25</t>
  </si>
  <si>
    <t xml:space="preserve">5/26</t>
  </si>
  <si>
    <t xml:space="preserve">5/27</t>
  </si>
  <si>
    <t xml:space="preserve">5/28</t>
  </si>
  <si>
    <t xml:space="preserve">5/29</t>
  </si>
  <si>
    <t xml:space="preserve">5/30</t>
  </si>
  <si>
    <t xml:space="preserve">5/31</t>
  </si>
  <si>
    <r>
      <rPr>
        <b val="true"/>
        <sz val="16"/>
        <color rgb="FFFFFFFF"/>
        <rFont val="メイリオ"/>
        <family val="3"/>
        <charset val="128"/>
      </rPr>
      <t xml:space="preserve">2026</t>
    </r>
    <r>
      <rPr>
        <b val="true"/>
        <sz val="16"/>
        <color rgb="FFFFFFFF"/>
        <rFont val="WenQuanYi Zen Hei"/>
        <family val="2"/>
      </rPr>
      <t xml:space="preserve">年  </t>
    </r>
    <r>
      <rPr>
        <b val="true"/>
        <sz val="16"/>
        <color rgb="FFFFFFFF"/>
        <rFont val="メイリオ"/>
        <family val="3"/>
        <charset val="128"/>
      </rPr>
      <t xml:space="preserve">6</t>
    </r>
    <r>
      <rPr>
        <b val="true"/>
        <sz val="16"/>
        <color rgb="FFFFFFFF"/>
        <rFont val="WenQuanYi Zen Hei"/>
        <family val="2"/>
      </rPr>
      <t xml:space="preserve">月  アルバイト勤怠表</t>
    </r>
  </si>
  <si>
    <t xml:space="preserve">6/1</t>
  </si>
  <si>
    <t xml:space="preserve">6/2</t>
  </si>
  <si>
    <t xml:space="preserve">6/3</t>
  </si>
  <si>
    <t xml:space="preserve">6/4</t>
  </si>
  <si>
    <t xml:space="preserve">6/5</t>
  </si>
  <si>
    <t xml:space="preserve">6/6</t>
  </si>
  <si>
    <t xml:space="preserve">6/7</t>
  </si>
  <si>
    <t xml:space="preserve">6/8</t>
  </si>
  <si>
    <t xml:space="preserve">6/9</t>
  </si>
  <si>
    <t xml:space="preserve">6/10</t>
  </si>
  <si>
    <t xml:space="preserve">6/11</t>
  </si>
  <si>
    <t xml:space="preserve">6/12</t>
  </si>
  <si>
    <t xml:space="preserve">6/13</t>
  </si>
  <si>
    <t xml:space="preserve">6/14</t>
  </si>
  <si>
    <t xml:space="preserve">6/15</t>
  </si>
  <si>
    <t xml:space="preserve">6/16</t>
  </si>
  <si>
    <t xml:space="preserve">6/17</t>
  </si>
  <si>
    <t xml:space="preserve">6/18</t>
  </si>
  <si>
    <t xml:space="preserve">6/19</t>
  </si>
  <si>
    <t xml:space="preserve">6/20</t>
  </si>
  <si>
    <t xml:space="preserve">6/21</t>
  </si>
  <si>
    <t xml:space="preserve">6/22</t>
  </si>
  <si>
    <t xml:space="preserve">6/23</t>
  </si>
  <si>
    <t xml:space="preserve">6/24</t>
  </si>
  <si>
    <t xml:space="preserve">6/25</t>
  </si>
  <si>
    <t xml:space="preserve">6/26</t>
  </si>
  <si>
    <t xml:space="preserve">6/27</t>
  </si>
  <si>
    <t xml:space="preserve">6/28</t>
  </si>
  <si>
    <t xml:space="preserve">6/29</t>
  </si>
  <si>
    <t xml:space="preserve">6/30</t>
  </si>
  <si>
    <r>
      <rPr>
        <b val="true"/>
        <sz val="16"/>
        <color rgb="FFFFFFFF"/>
        <rFont val="メイリオ"/>
        <family val="3"/>
        <charset val="128"/>
      </rPr>
      <t xml:space="preserve">2026</t>
    </r>
    <r>
      <rPr>
        <b val="true"/>
        <sz val="16"/>
        <color rgb="FFFFFFFF"/>
        <rFont val="WenQuanYi Zen Hei"/>
        <family val="2"/>
      </rPr>
      <t xml:space="preserve">年  </t>
    </r>
    <r>
      <rPr>
        <b val="true"/>
        <sz val="16"/>
        <color rgb="FFFFFFFF"/>
        <rFont val="メイリオ"/>
        <family val="3"/>
        <charset val="128"/>
      </rPr>
      <t xml:space="preserve">7</t>
    </r>
    <r>
      <rPr>
        <b val="true"/>
        <sz val="16"/>
        <color rgb="FFFFFFFF"/>
        <rFont val="WenQuanYi Zen Hei"/>
        <family val="2"/>
      </rPr>
      <t xml:space="preserve">月  アルバイト勤怠表</t>
    </r>
  </si>
  <si>
    <t xml:space="preserve">7/1</t>
  </si>
  <si>
    <t xml:space="preserve">7/2</t>
  </si>
  <si>
    <t xml:space="preserve">7/3</t>
  </si>
  <si>
    <t xml:space="preserve">7/4</t>
  </si>
  <si>
    <t xml:space="preserve">7/5</t>
  </si>
  <si>
    <t xml:space="preserve">7/6</t>
  </si>
  <si>
    <t xml:space="preserve">7/7</t>
  </si>
  <si>
    <t xml:space="preserve">7/8</t>
  </si>
  <si>
    <t xml:space="preserve">7/9</t>
  </si>
  <si>
    <t xml:space="preserve">7/10</t>
  </si>
  <si>
    <t xml:space="preserve">7/11</t>
  </si>
  <si>
    <t xml:space="preserve">7/12</t>
  </si>
  <si>
    <t xml:space="preserve">7/13</t>
  </si>
  <si>
    <t xml:space="preserve">7/14</t>
  </si>
  <si>
    <t xml:space="preserve">7/15</t>
  </si>
  <si>
    <t xml:space="preserve">7/16</t>
  </si>
  <si>
    <t xml:space="preserve">7/17</t>
  </si>
  <si>
    <t xml:space="preserve">7/18</t>
  </si>
  <si>
    <t xml:space="preserve">7/19</t>
  </si>
  <si>
    <t xml:space="preserve">7/20</t>
  </si>
  <si>
    <t xml:space="preserve">7/21</t>
  </si>
  <si>
    <t xml:space="preserve">7/22</t>
  </si>
  <si>
    <t xml:space="preserve">7/23</t>
  </si>
  <si>
    <t xml:space="preserve">7/24</t>
  </si>
  <si>
    <t xml:space="preserve">7/25</t>
  </si>
  <si>
    <t xml:space="preserve">7/26</t>
  </si>
  <si>
    <t xml:space="preserve">7/27</t>
  </si>
  <si>
    <t xml:space="preserve">7/28</t>
  </si>
  <si>
    <t xml:space="preserve">7/29</t>
  </si>
  <si>
    <t xml:space="preserve">7/30</t>
  </si>
  <si>
    <t xml:space="preserve">7/31</t>
  </si>
  <si>
    <r>
      <rPr>
        <b val="true"/>
        <sz val="16"/>
        <color rgb="FFFFFFFF"/>
        <rFont val="メイリオ"/>
        <family val="3"/>
        <charset val="128"/>
      </rPr>
      <t xml:space="preserve">2026</t>
    </r>
    <r>
      <rPr>
        <b val="true"/>
        <sz val="16"/>
        <color rgb="FFFFFFFF"/>
        <rFont val="WenQuanYi Zen Hei"/>
        <family val="2"/>
      </rPr>
      <t xml:space="preserve">年  </t>
    </r>
    <r>
      <rPr>
        <b val="true"/>
        <sz val="16"/>
        <color rgb="FFFFFFFF"/>
        <rFont val="メイリオ"/>
        <family val="3"/>
        <charset val="128"/>
      </rPr>
      <t xml:space="preserve">8</t>
    </r>
    <r>
      <rPr>
        <b val="true"/>
        <sz val="16"/>
        <color rgb="FFFFFFFF"/>
        <rFont val="WenQuanYi Zen Hei"/>
        <family val="2"/>
      </rPr>
      <t xml:space="preserve">月  アルバイト勤怠表</t>
    </r>
  </si>
  <si>
    <t xml:space="preserve">8/1</t>
  </si>
  <si>
    <t xml:space="preserve">8/2</t>
  </si>
  <si>
    <t xml:space="preserve">8/3</t>
  </si>
  <si>
    <t xml:space="preserve">8/4</t>
  </si>
  <si>
    <t xml:space="preserve">8/5</t>
  </si>
  <si>
    <t xml:space="preserve">8/6</t>
  </si>
  <si>
    <t xml:space="preserve">8/7</t>
  </si>
  <si>
    <t xml:space="preserve">8/8</t>
  </si>
  <si>
    <t xml:space="preserve">8/9</t>
  </si>
  <si>
    <t xml:space="preserve">8/10</t>
  </si>
  <si>
    <t xml:space="preserve">8/11</t>
  </si>
  <si>
    <t xml:space="preserve">8/12</t>
  </si>
  <si>
    <t xml:space="preserve">8/13</t>
  </si>
  <si>
    <t xml:space="preserve">8/14</t>
  </si>
  <si>
    <t xml:space="preserve">8/15</t>
  </si>
  <si>
    <t xml:space="preserve">8/16</t>
  </si>
  <si>
    <t xml:space="preserve">8/17</t>
  </si>
  <si>
    <t xml:space="preserve">8/18</t>
  </si>
  <si>
    <t xml:space="preserve">8/19</t>
  </si>
  <si>
    <t xml:space="preserve">8/20</t>
  </si>
  <si>
    <t xml:space="preserve">8/21</t>
  </si>
  <si>
    <t xml:space="preserve">8/22</t>
  </si>
  <si>
    <t xml:space="preserve">8/23</t>
  </si>
  <si>
    <t xml:space="preserve">8/24</t>
  </si>
  <si>
    <t xml:space="preserve">8/25</t>
  </si>
  <si>
    <t xml:space="preserve">8/26</t>
  </si>
  <si>
    <t xml:space="preserve">8/27</t>
  </si>
  <si>
    <t xml:space="preserve">8/28</t>
  </si>
  <si>
    <t xml:space="preserve">8/29</t>
  </si>
  <si>
    <t xml:space="preserve">8/30</t>
  </si>
  <si>
    <t xml:space="preserve">8/31</t>
  </si>
  <si>
    <r>
      <rPr>
        <b val="true"/>
        <sz val="16"/>
        <color rgb="FFFFFFFF"/>
        <rFont val="メイリオ"/>
        <family val="3"/>
        <charset val="128"/>
      </rPr>
      <t xml:space="preserve">2026</t>
    </r>
    <r>
      <rPr>
        <b val="true"/>
        <sz val="16"/>
        <color rgb="FFFFFFFF"/>
        <rFont val="WenQuanYi Zen Hei"/>
        <family val="2"/>
      </rPr>
      <t xml:space="preserve">年  </t>
    </r>
    <r>
      <rPr>
        <b val="true"/>
        <sz val="16"/>
        <color rgb="FFFFFFFF"/>
        <rFont val="メイリオ"/>
        <family val="3"/>
        <charset val="128"/>
      </rPr>
      <t xml:space="preserve">9</t>
    </r>
    <r>
      <rPr>
        <b val="true"/>
        <sz val="16"/>
        <color rgb="FFFFFFFF"/>
        <rFont val="WenQuanYi Zen Hei"/>
        <family val="2"/>
      </rPr>
      <t xml:space="preserve">月  アルバイト勤怠表</t>
    </r>
  </si>
  <si>
    <t xml:space="preserve">9/1</t>
  </si>
  <si>
    <t xml:space="preserve">9/2</t>
  </si>
  <si>
    <t xml:space="preserve">9/3</t>
  </si>
  <si>
    <t xml:space="preserve">9/4</t>
  </si>
  <si>
    <t xml:space="preserve">9/5</t>
  </si>
  <si>
    <t xml:space="preserve">9/6</t>
  </si>
  <si>
    <t xml:space="preserve">9/7</t>
  </si>
  <si>
    <t xml:space="preserve">9/8</t>
  </si>
  <si>
    <t xml:space="preserve">9/9</t>
  </si>
  <si>
    <t xml:space="preserve">9/10</t>
  </si>
  <si>
    <t xml:space="preserve">9/11</t>
  </si>
  <si>
    <t xml:space="preserve">9/12</t>
  </si>
  <si>
    <t xml:space="preserve">9/13</t>
  </si>
  <si>
    <t xml:space="preserve">9/14</t>
  </si>
  <si>
    <t xml:space="preserve">9/15</t>
  </si>
  <si>
    <t xml:space="preserve">9/16</t>
  </si>
  <si>
    <t xml:space="preserve">9/17</t>
  </si>
  <si>
    <t xml:space="preserve">9/18</t>
  </si>
  <si>
    <t xml:space="preserve">9/19</t>
  </si>
  <si>
    <t xml:space="preserve">9/20</t>
  </si>
  <si>
    <t xml:space="preserve">9/21</t>
  </si>
  <si>
    <t xml:space="preserve">9/22</t>
  </si>
  <si>
    <t xml:space="preserve">9/23</t>
  </si>
  <si>
    <t xml:space="preserve">9/24</t>
  </si>
  <si>
    <t xml:space="preserve">9/25</t>
  </si>
  <si>
    <t xml:space="preserve">9/26</t>
  </si>
  <si>
    <t xml:space="preserve">9/27</t>
  </si>
  <si>
    <t xml:space="preserve">9/28</t>
  </si>
  <si>
    <t xml:space="preserve">9/29</t>
  </si>
  <si>
    <t xml:space="preserve">9/30</t>
  </si>
  <si>
    <r>
      <rPr>
        <b val="true"/>
        <sz val="16"/>
        <color rgb="FFFFFFFF"/>
        <rFont val="メイリオ"/>
        <family val="3"/>
        <charset val="128"/>
      </rPr>
      <t xml:space="preserve">2026</t>
    </r>
    <r>
      <rPr>
        <b val="true"/>
        <sz val="16"/>
        <color rgb="FFFFFFFF"/>
        <rFont val="WenQuanYi Zen Hei"/>
        <family val="2"/>
      </rPr>
      <t xml:space="preserve">年  </t>
    </r>
    <r>
      <rPr>
        <b val="true"/>
        <sz val="16"/>
        <color rgb="FFFFFFFF"/>
        <rFont val="メイリオ"/>
        <family val="3"/>
        <charset val="128"/>
      </rPr>
      <t xml:space="preserve">10</t>
    </r>
    <r>
      <rPr>
        <b val="true"/>
        <sz val="16"/>
        <color rgb="FFFFFFFF"/>
        <rFont val="WenQuanYi Zen Hei"/>
        <family val="2"/>
      </rPr>
      <t xml:space="preserve">月  アルバイト勤怠表</t>
    </r>
  </si>
  <si>
    <t xml:space="preserve">10/1</t>
  </si>
  <si>
    <t xml:space="preserve">10/2</t>
  </si>
  <si>
    <t xml:space="preserve">10/3</t>
  </si>
  <si>
    <t xml:space="preserve">10/4</t>
  </si>
  <si>
    <t xml:space="preserve">10/5</t>
  </si>
  <si>
    <t xml:space="preserve">10/6</t>
  </si>
  <si>
    <t xml:space="preserve">10/7</t>
  </si>
  <si>
    <t xml:space="preserve">10/8</t>
  </si>
  <si>
    <t xml:space="preserve">10/9</t>
  </si>
  <si>
    <t xml:space="preserve">10/10</t>
  </si>
  <si>
    <t xml:space="preserve">10/11</t>
  </si>
  <si>
    <t xml:space="preserve">10/12</t>
  </si>
  <si>
    <t xml:space="preserve">10/13</t>
  </si>
  <si>
    <t xml:space="preserve">10/14</t>
  </si>
  <si>
    <t xml:space="preserve">10/15</t>
  </si>
  <si>
    <t xml:space="preserve">10/16</t>
  </si>
  <si>
    <t xml:space="preserve">10/17</t>
  </si>
  <si>
    <t xml:space="preserve">10/18</t>
  </si>
  <si>
    <t xml:space="preserve">10/19</t>
  </si>
  <si>
    <t xml:space="preserve">10/20</t>
  </si>
  <si>
    <t xml:space="preserve">10/21</t>
  </si>
  <si>
    <t xml:space="preserve">10/22</t>
  </si>
  <si>
    <t xml:space="preserve">10/23</t>
  </si>
  <si>
    <t xml:space="preserve">10/24</t>
  </si>
  <si>
    <t xml:space="preserve">10/25</t>
  </si>
  <si>
    <t xml:space="preserve">10/26</t>
  </si>
  <si>
    <t xml:space="preserve">10/27</t>
  </si>
  <si>
    <t xml:space="preserve">10/28</t>
  </si>
  <si>
    <t xml:space="preserve">10/29</t>
  </si>
  <si>
    <t xml:space="preserve">10/30</t>
  </si>
  <si>
    <t xml:space="preserve">10/31</t>
  </si>
  <si>
    <r>
      <rPr>
        <b val="true"/>
        <sz val="16"/>
        <color rgb="FFFFFFFF"/>
        <rFont val="メイリオ"/>
        <family val="3"/>
        <charset val="128"/>
      </rPr>
      <t xml:space="preserve">2026</t>
    </r>
    <r>
      <rPr>
        <b val="true"/>
        <sz val="16"/>
        <color rgb="FFFFFFFF"/>
        <rFont val="WenQuanYi Zen Hei"/>
        <family val="2"/>
      </rPr>
      <t xml:space="preserve">年  </t>
    </r>
    <r>
      <rPr>
        <b val="true"/>
        <sz val="16"/>
        <color rgb="FFFFFFFF"/>
        <rFont val="メイリオ"/>
        <family val="3"/>
        <charset val="128"/>
      </rPr>
      <t xml:space="preserve">11</t>
    </r>
    <r>
      <rPr>
        <b val="true"/>
        <sz val="16"/>
        <color rgb="FFFFFFFF"/>
        <rFont val="WenQuanYi Zen Hei"/>
        <family val="2"/>
      </rPr>
      <t xml:space="preserve">月  アルバイト勤怠表</t>
    </r>
  </si>
  <si>
    <t xml:space="preserve">11/1</t>
  </si>
  <si>
    <t xml:space="preserve">11/2</t>
  </si>
  <si>
    <t xml:space="preserve">11/3</t>
  </si>
  <si>
    <t xml:space="preserve">11/4</t>
  </si>
  <si>
    <t xml:space="preserve">11/5</t>
  </si>
  <si>
    <t xml:space="preserve">11/6</t>
  </si>
  <si>
    <t xml:space="preserve">11/7</t>
  </si>
  <si>
    <t xml:space="preserve">11/8</t>
  </si>
  <si>
    <t xml:space="preserve">11/9</t>
  </si>
  <si>
    <t xml:space="preserve">11/10</t>
  </si>
  <si>
    <t xml:space="preserve">11/11</t>
  </si>
  <si>
    <t xml:space="preserve">11/12</t>
  </si>
  <si>
    <t xml:space="preserve">11/13</t>
  </si>
  <si>
    <t xml:space="preserve">11/14</t>
  </si>
  <si>
    <t xml:space="preserve">11/15</t>
  </si>
  <si>
    <t xml:space="preserve">11/16</t>
  </si>
  <si>
    <t xml:space="preserve">11/17</t>
  </si>
  <si>
    <t xml:space="preserve">11/18</t>
  </si>
  <si>
    <t xml:space="preserve">11/19</t>
  </si>
  <si>
    <t xml:space="preserve">11/20</t>
  </si>
  <si>
    <t xml:space="preserve">11/21</t>
  </si>
  <si>
    <t xml:space="preserve">11/22</t>
  </si>
  <si>
    <t xml:space="preserve">11/23</t>
  </si>
  <si>
    <t xml:space="preserve">11/24</t>
  </si>
  <si>
    <t xml:space="preserve">11/25</t>
  </si>
  <si>
    <t xml:space="preserve">11/26</t>
  </si>
  <si>
    <t xml:space="preserve">11/27</t>
  </si>
  <si>
    <t xml:space="preserve">11/28</t>
  </si>
  <si>
    <t xml:space="preserve">11/29</t>
  </si>
  <si>
    <t xml:space="preserve">11/30</t>
  </si>
  <si>
    <r>
      <rPr>
        <b val="true"/>
        <sz val="16"/>
        <color rgb="FFFFFFFF"/>
        <rFont val="メイリオ"/>
        <family val="3"/>
        <charset val="128"/>
      </rPr>
      <t xml:space="preserve">2026</t>
    </r>
    <r>
      <rPr>
        <b val="true"/>
        <sz val="16"/>
        <color rgb="FFFFFFFF"/>
        <rFont val="WenQuanYi Zen Hei"/>
        <family val="2"/>
      </rPr>
      <t xml:space="preserve">年  </t>
    </r>
    <r>
      <rPr>
        <b val="true"/>
        <sz val="16"/>
        <color rgb="FFFFFFFF"/>
        <rFont val="メイリオ"/>
        <family val="3"/>
        <charset val="128"/>
      </rPr>
      <t xml:space="preserve">12</t>
    </r>
    <r>
      <rPr>
        <b val="true"/>
        <sz val="16"/>
        <color rgb="FFFFFFFF"/>
        <rFont val="WenQuanYi Zen Hei"/>
        <family val="2"/>
      </rPr>
      <t xml:space="preserve">月  アルバイト勤怠表</t>
    </r>
  </si>
  <si>
    <t xml:space="preserve">12/1</t>
  </si>
  <si>
    <t xml:space="preserve">12/2</t>
  </si>
  <si>
    <t xml:space="preserve">12/3</t>
  </si>
  <si>
    <t xml:space="preserve">12/4</t>
  </si>
  <si>
    <t xml:space="preserve">12/5</t>
  </si>
  <si>
    <t xml:space="preserve">12/6</t>
  </si>
  <si>
    <t xml:space="preserve">12/7</t>
  </si>
  <si>
    <t xml:space="preserve">12/8</t>
  </si>
  <si>
    <t xml:space="preserve">12/9</t>
  </si>
  <si>
    <t xml:space="preserve">12/10</t>
  </si>
  <si>
    <t xml:space="preserve">12/11</t>
  </si>
  <si>
    <t xml:space="preserve">12/12</t>
  </si>
  <si>
    <t xml:space="preserve">12/13</t>
  </si>
  <si>
    <t xml:space="preserve">12/14</t>
  </si>
  <si>
    <t xml:space="preserve">12/15</t>
  </si>
  <si>
    <t xml:space="preserve">12/16</t>
  </si>
  <si>
    <t xml:space="preserve">12/17</t>
  </si>
  <si>
    <t xml:space="preserve">12/18</t>
  </si>
  <si>
    <t xml:space="preserve">12/19</t>
  </si>
  <si>
    <t xml:space="preserve">12/20</t>
  </si>
  <si>
    <t xml:space="preserve">12/21</t>
  </si>
  <si>
    <t xml:space="preserve">12/22</t>
  </si>
  <si>
    <t xml:space="preserve">12/23</t>
  </si>
  <si>
    <t xml:space="preserve">12/24</t>
  </si>
  <si>
    <t xml:space="preserve">12/25</t>
  </si>
  <si>
    <t xml:space="preserve">12/26</t>
  </si>
  <si>
    <t xml:space="preserve">12/27</t>
  </si>
  <si>
    <t xml:space="preserve">12/28</t>
  </si>
  <si>
    <t xml:space="preserve">12/29</t>
  </si>
  <si>
    <t xml:space="preserve">12/30</t>
  </si>
  <si>
    <t xml:space="preserve">12/31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</si>
</sst>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¥#,##0"/>
    <numFmt numFmtId="166" formatCode="hh:mm"/>
    <numFmt numFmtId="167" formatCode="0.00"/>
    <numFmt numFmtId="168" formatCode="#,##0"/>
    <numFmt numFmtId="169" formatCode="0\日"/>
    <numFmt numFmtId="170" formatCode="0.00&quot;時間&quot;"/>
  </numFmts>
  <fonts count="27">
    <font>
      <sz val="11"/>
      <color theme="1"/>
      <name val="ＭＳ Ｐゴシック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  <font>
      <b val="true"/>
      <sz val="16"/>
      <color rgb="FFFFFFFF"/>
      <name val="メイリオ"/>
      <family val="3"/>
      <charset val="128"/>
    </font>
    <font>
      <b val="true"/>
      <sz val="16"/>
      <color rgb="FFFFFFFF"/>
      <name val="WenQuanYi Zen Hei"/>
      <family val="2"/>
    </font>
    <font>
      <b val="true"/>
      <sz val="11"/>
      <color rgb="FFFFFFFF"/>
      <name val="WenQuanYi Zen Hei"/>
      <family val="2"/>
    </font>
    <font>
      <b val="true"/>
      <sz val="12"/>
      <color rgb="FF000000"/>
      <name val="WenQuanYi Zen Hei"/>
      <family val="2"/>
    </font>
    <font>
      <b val="true"/>
      <sz val="12"/>
      <color rgb="FF000000"/>
      <name val="メイリオ"/>
      <family val="3"/>
      <charset val="128"/>
    </font>
    <font>
      <sz val="9"/>
      <color rgb="FFFFFFFF"/>
      <name val="WenQuanYi Zen Hei"/>
      <family val="2"/>
    </font>
    <font>
      <b val="true"/>
      <sz val="9"/>
      <color rgb="FF000000"/>
      <name val="WenQuanYi Zen Hei"/>
      <family val="2"/>
    </font>
    <font>
      <b val="true"/>
      <sz val="9"/>
      <color rgb="FF000000"/>
      <name val="メイリオ"/>
      <family val="3"/>
      <charset val="128"/>
    </font>
    <font>
      <sz val="9"/>
      <color rgb="FF000000"/>
      <name val="メイリオ"/>
      <family val="3"/>
      <charset val="128"/>
    </font>
    <font>
      <sz val="9"/>
      <color rgb="FF000000"/>
      <name val="WenQuanYi Zen Hei"/>
      <family val="2"/>
    </font>
    <font>
      <sz val="10"/>
      <color rgb="FF000000"/>
      <name val="メイリオ"/>
      <family val="3"/>
      <charset val="128"/>
    </font>
    <font>
      <b val="true"/>
      <sz val="9"/>
      <color rgb="FF0070C0"/>
      <name val="WenQuanYi Zen Hei"/>
      <family val="2"/>
    </font>
    <font>
      <b val="true"/>
      <sz val="9"/>
      <color rgb="FFFF0000"/>
      <name val="WenQuanYi Zen Hei"/>
      <family val="2"/>
    </font>
    <font>
      <b val="true"/>
      <sz val="12"/>
      <color rgb="FFFFFFFF"/>
      <name val="WenQuanYi Zen Hei"/>
      <family val="2"/>
    </font>
    <font>
      <b val="true"/>
      <sz val="10"/>
      <color rgb="FFFFFFFF"/>
      <name val="WenQuanYi Zen Hei"/>
      <family val="2"/>
    </font>
    <font>
      <sz val="11"/>
      <color rgb="FF000000"/>
      <name val="メイリオ"/>
      <family val="3"/>
      <charset val="128"/>
    </font>
    <font>
      <b val="true"/>
      <sz val="11"/>
      <color rgb="FF000000"/>
      <name val="メイリオ"/>
      <family val="3"/>
      <charset val="128"/>
    </font>
    <font>
      <b val="true"/>
      <sz val="10"/>
      <color rgb="FF7F5000"/>
      <name val="WenQuanYi Zen Hei"/>
      <family val="2"/>
    </font>
    <font>
      <b val="true"/>
      <sz val="14"/>
      <color rgb="FFFFFFFF"/>
      <name val="メイリオ"/>
      <family val="3"/>
      <charset val="128"/>
    </font>
    <font>
      <sz val="8"/>
      <color rgb="FF555555"/>
      <name val="WenQuanYi Zen Hei"/>
      <family val="2"/>
    </font>
    <font>
      <sz val="8"/>
      <color rgb="FF000000"/>
      <name val="WenQuanYi Zen Hei"/>
      <family val="2"/>
    </font>
    <font>
      <sz val="8"/>
      <color rgb="FF555555"/>
      <name val="メイリオ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2E75B6"/>
        <bgColor rgb="FF0070C0"/>
      </patternFill>
    </fill>
    <fill>
      <patternFill patternType="solid">
        <fgColor rgb="FFD6E4F0"/>
        <bgColor rgb="FFD6EAF8"/>
      </patternFill>
    </fill>
    <fill>
      <patternFill patternType="solid">
        <fgColor rgb="FFBDD7EE"/>
        <bgColor rgb="FFD6E4F0"/>
      </patternFill>
    </fill>
    <fill>
      <patternFill patternType="solid">
        <fgColor rgb="FFC6EFCE"/>
        <bgColor rgb="FFD5F5E3"/>
      </patternFill>
    </fill>
    <fill>
      <patternFill patternType="solid">
        <fgColor rgb="FFFFFEF0"/>
        <bgColor rgb="FFFFFDE7"/>
      </patternFill>
    </fill>
    <fill>
      <patternFill patternType="solid">
        <fgColor rgb="FFEBF5FB"/>
        <bgColor rgb="FFE8F4FD"/>
      </patternFill>
    </fill>
    <fill>
      <patternFill patternType="solid">
        <fgColor rgb="FFF0FFF0"/>
        <bgColor rgb="FFFFFEF0"/>
      </patternFill>
    </fill>
    <fill>
      <patternFill patternType="solid">
        <fgColor rgb="FFDDEEFF"/>
        <bgColor rgb="FFD6EAF8"/>
      </patternFill>
    </fill>
    <fill>
      <patternFill patternType="solid">
        <fgColor rgb="FFFFE8E8"/>
        <bgColor rgb="FFFFF0CC"/>
      </patternFill>
    </fill>
    <fill>
      <patternFill patternType="solid">
        <fgColor rgb="FFE8F4FD"/>
        <bgColor rgb="FFEBF5FB"/>
      </patternFill>
    </fill>
    <fill>
      <patternFill patternType="solid">
        <fgColor rgb="FF1A5276"/>
        <bgColor rgb="FF1F4E79"/>
      </patternFill>
    </fill>
    <fill>
      <patternFill patternType="solid">
        <fgColor rgb="FFD6EAF8"/>
        <bgColor rgb="FFD6E4F0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D6EAF8"/>
      </patternFill>
    </fill>
    <fill>
      <patternFill patternType="solid">
        <fgColor rgb="FFFFF0CC"/>
        <bgColor rgb="FFFFF9E6"/>
      </patternFill>
    </fill>
    <fill>
      <patternFill patternType="solid">
        <fgColor rgb="FFFFFDE7"/>
        <bgColor rgb="FFFFFEF0"/>
      </patternFill>
    </fill>
    <fill>
      <patternFill patternType="solid">
        <fgColor rgb="FF70AD47"/>
        <bgColor rgb="FF808080"/>
      </patternFill>
    </fill>
    <fill>
      <patternFill patternType="solid">
        <fgColor rgb="FFFFF9E6"/>
        <bgColor rgb="FFFFFDE7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 diagonalUp="false" diagonalDown="false">
      <left style="medium">
        <color rgb="FF2E75B6"/>
      </left>
      <right style="thin">
        <color rgb="FFB0C4DE"/>
      </right>
      <top style="medium">
        <color rgb="FF2E75B6"/>
      </top>
      <bottom style="thin">
        <color rgb="FF2E75B6"/>
      </bottom>
      <diagonal/>
    </border>
    <border diagonalUp="false" diagonalDown="false">
      <left style="thin">
        <color rgb="FFB0C4DE"/>
      </left>
      <right style="medium">
        <color rgb="FF2E75B6"/>
      </right>
      <top style="thin">
        <color rgb="FFB0C4DE"/>
      </top>
      <bottom style="thin">
        <color rgb="FFB0C4DE"/>
      </bottom>
      <diagonal/>
    </border>
    <border diagonalUp="false" diagonalDown="false">
      <left style="medium">
        <color rgb="FF2E75B6"/>
      </left>
      <right style="thin">
        <color rgb="FFB0C4DE"/>
      </right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B0C4DE"/>
      </left>
      <right style="medium">
        <color rgb="FF27AE60"/>
      </right>
      <top style="thin">
        <color rgb="FFB0C4DE"/>
      </top>
      <bottom style="thin">
        <color rgb="FFB0C4DE"/>
      </bottom>
      <diagonal/>
    </border>
    <border diagonalUp="false" diagonalDown="false">
      <left style="thin">
        <color rgb="FFB0C4DE"/>
      </left>
      <right style="medium">
        <color rgb="FFE6A000"/>
      </right>
      <top style="thin">
        <color rgb="FFB0C4DE"/>
      </top>
      <bottom style="thin">
        <color rgb="FFB0C4DE"/>
      </bottom>
      <diagonal/>
    </border>
    <border diagonalUp="false" diagonalDown="false">
      <left style="medium">
        <color rgb="FF2E75B6"/>
      </left>
      <right style="medium">
        <color rgb="FF1F4E79"/>
      </right>
      <top style="thin">
        <color rgb="FF2E75B6"/>
      </top>
      <bottom style="medium">
        <color rgb="FF2E75B6"/>
      </bottom>
      <diagonal/>
    </border>
    <border diagonalUp="false" diagonalDown="false">
      <left/>
      <right/>
      <top style="thin">
        <color rgb="FFAAAAA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0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0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5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1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7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1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9E6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B0C4DE"/>
      <rgbColor rgb="FF808080"/>
      <rgbColor rgb="FFEBF5FB"/>
      <rgbColor rgb="FF993366"/>
      <rgbColor rgb="FFFFFDE7"/>
      <rgbColor rgb="FFDDEEFF"/>
      <rgbColor rgb="FF660066"/>
      <rgbColor rgb="FFFF8080"/>
      <rgbColor rgb="FF0070C0"/>
      <rgbColor rgb="FFBDD7EE"/>
      <rgbColor rgb="FF000080"/>
      <rgbColor rgb="FFFF00FF"/>
      <rgbColor rgb="FFFFFEF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FF0CC"/>
      <rgbColor rgb="FFD6E4F0"/>
      <rgbColor rgb="FFE8F4FD"/>
      <rgbColor rgb="FFC6EFCE"/>
      <rgbColor rgb="FFFFE8E8"/>
      <rgbColor rgb="FF2E75B6"/>
      <rgbColor rgb="FF33CCCC"/>
      <rgbColor rgb="FF70AD47"/>
      <rgbColor rgb="FFF0FFF0"/>
      <rgbColor rgb="FFE6A000"/>
      <rgbColor rgb="FFFF6600"/>
      <rgbColor rgb="FF555555"/>
      <rgbColor rgb="FFAAAAAA"/>
      <rgbColor rgb="FF1A5276"/>
      <rgbColor rgb="FF27AE60"/>
      <rgbColor rgb="FF003300"/>
      <rgbColor rgb="FF333300"/>
      <rgbColor rgb="FF7F50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sheetData>
    <row r="1" customFormat="fals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0" t="n">
        <v>0</v>
      </c>
      <c r="B2" s="0" t="n">
        <v>0</v>
      </c>
    </row>
    <row r="3" customFormat="false" ht="13.5" hidden="false" customHeight="false" outlineLevel="0" collapsed="false">
      <c r="A3" s="0" t="n">
        <v>68000</v>
      </c>
      <c r="B3" s="0" t="n">
        <v>3200</v>
      </c>
    </row>
    <row r="4" customFormat="false" ht="13.5" hidden="false" customHeight="false" outlineLevel="0" collapsed="false">
      <c r="A4" s="0" t="n">
        <v>75000</v>
      </c>
      <c r="B4" s="0" t="n">
        <v>3500</v>
      </c>
    </row>
    <row r="5" customFormat="false" ht="13.5" hidden="false" customHeight="false" outlineLevel="0" collapsed="false">
      <c r="A5" s="0" t="n">
        <v>80000</v>
      </c>
      <c r="B5" s="0" t="n">
        <v>3800</v>
      </c>
    </row>
    <row r="6" customFormat="false" ht="13.5" hidden="false" customHeight="false" outlineLevel="0" collapsed="false">
      <c r="A6" s="0" t="n">
        <v>88000</v>
      </c>
      <c r="B6" s="0" t="n">
        <v>4200</v>
      </c>
    </row>
    <row r="7" customFormat="false" ht="13.5" hidden="false" customHeight="false" outlineLevel="0" collapsed="false">
      <c r="A7" s="0" t="n">
        <v>93000</v>
      </c>
      <c r="B7" s="0" t="n">
        <v>4700</v>
      </c>
    </row>
    <row r="8" customFormat="false" ht="13.5" hidden="false" customHeight="false" outlineLevel="0" collapsed="false">
      <c r="A8" s="0" t="n">
        <v>98000</v>
      </c>
      <c r="B8" s="0" t="n">
        <v>5200</v>
      </c>
    </row>
    <row r="9" customFormat="false" ht="13.5" hidden="false" customHeight="false" outlineLevel="0" collapsed="false">
      <c r="A9" s="0" t="n">
        <v>103000</v>
      </c>
      <c r="B9" s="0" t="n">
        <v>5700</v>
      </c>
    </row>
    <row r="10" customFormat="false" ht="13.5" hidden="false" customHeight="false" outlineLevel="0" collapsed="false">
      <c r="A10" s="0" t="n">
        <v>108000</v>
      </c>
      <c r="B10" s="0" t="n">
        <v>6200</v>
      </c>
    </row>
    <row r="11" customFormat="false" ht="13.5" hidden="false" customHeight="false" outlineLevel="0" collapsed="false">
      <c r="A11" s="0" t="n">
        <v>114000</v>
      </c>
      <c r="B11" s="0" t="n">
        <v>7000</v>
      </c>
    </row>
    <row r="12" customFormat="false" ht="13.5" hidden="false" customHeight="false" outlineLevel="0" collapsed="false">
      <c r="A12" s="0" t="n">
        <v>119000</v>
      </c>
      <c r="B12" s="0" t="n">
        <v>7500</v>
      </c>
    </row>
    <row r="13" customFormat="false" ht="13.5" hidden="false" customHeight="false" outlineLevel="0" collapsed="false">
      <c r="A13" s="0" t="n">
        <v>124000</v>
      </c>
      <c r="B13" s="0" t="n">
        <v>8000</v>
      </c>
    </row>
    <row r="14" customFormat="false" ht="13.5" hidden="false" customHeight="false" outlineLevel="0" collapsed="false">
      <c r="A14" s="0" t="n">
        <v>129000</v>
      </c>
      <c r="B14" s="0" t="n">
        <v>8500</v>
      </c>
    </row>
    <row r="15" customFormat="false" ht="13.5" hidden="false" customHeight="false" outlineLevel="0" collapsed="false">
      <c r="A15" s="0" t="n">
        <v>135000</v>
      </c>
      <c r="B15" s="0" t="n">
        <v>9100</v>
      </c>
    </row>
    <row r="16" customFormat="false" ht="13.5" hidden="false" customHeight="false" outlineLevel="0" collapsed="false">
      <c r="A16" s="0" t="n">
        <v>140000</v>
      </c>
      <c r="B16" s="0" t="n">
        <v>9700</v>
      </c>
    </row>
    <row r="17" customFormat="false" ht="13.5" hidden="false" customHeight="false" outlineLevel="0" collapsed="false">
      <c r="A17" s="0" t="n">
        <v>146000</v>
      </c>
      <c r="B17" s="0" t="n">
        <v>10200</v>
      </c>
    </row>
    <row r="18" customFormat="false" ht="13.5" hidden="false" customHeight="false" outlineLevel="0" collapsed="false">
      <c r="A18" s="0" t="n">
        <v>151000</v>
      </c>
      <c r="B18" s="0" t="n">
        <v>10700</v>
      </c>
    </row>
    <row r="19" customFormat="false" ht="13.5" hidden="false" customHeight="false" outlineLevel="0" collapsed="false">
      <c r="A19" s="0" t="n">
        <v>157000</v>
      </c>
      <c r="B19" s="0" t="n">
        <v>11200</v>
      </c>
    </row>
    <row r="20" customFormat="false" ht="13.5" hidden="false" customHeight="false" outlineLevel="0" collapsed="false">
      <c r="A20" s="0" t="n">
        <v>162000</v>
      </c>
      <c r="B20" s="0" t="n">
        <v>11700</v>
      </c>
    </row>
    <row r="21" customFormat="false" ht="13.5" hidden="false" customHeight="false" outlineLevel="0" collapsed="false">
      <c r="A21" s="0" t="n">
        <v>168000</v>
      </c>
      <c r="B21" s="0" t="n">
        <v>13700</v>
      </c>
    </row>
    <row r="22" customFormat="false" ht="13.5" hidden="false" customHeight="false" outlineLevel="0" collapsed="false">
      <c r="A22" s="0" t="n">
        <v>174000</v>
      </c>
      <c r="B22" s="0" t="n">
        <v>14200</v>
      </c>
    </row>
    <row r="23" customFormat="false" ht="13.5" hidden="false" customHeight="false" outlineLevel="0" collapsed="false">
      <c r="A23" s="0" t="n">
        <v>181000</v>
      </c>
      <c r="B23" s="0" t="n">
        <v>14800</v>
      </c>
    </row>
    <row r="24" customFormat="false" ht="13.5" hidden="false" customHeight="false" outlineLevel="0" collapsed="false">
      <c r="A24" s="0" t="n">
        <v>187000</v>
      </c>
      <c r="B24" s="0" t="n">
        <v>15400</v>
      </c>
    </row>
    <row r="25" customFormat="false" ht="13.5" hidden="false" customHeight="false" outlineLevel="0" collapsed="false">
      <c r="A25" s="0" t="n">
        <v>194000</v>
      </c>
      <c r="B25" s="0" t="n">
        <v>16000</v>
      </c>
    </row>
    <row r="26" customFormat="false" ht="13.5" hidden="false" customHeight="false" outlineLevel="0" collapsed="false">
      <c r="A26" s="0" t="n">
        <v>200000</v>
      </c>
      <c r="B26" s="0" t="n">
        <v>16600</v>
      </c>
    </row>
    <row r="27" customFormat="false" ht="13.5" hidden="false" customHeight="false" outlineLevel="0" collapsed="false">
      <c r="A27" s="0" t="n">
        <v>207000</v>
      </c>
      <c r="B27" s="0" t="n">
        <v>17200</v>
      </c>
    </row>
    <row r="28" customFormat="false" ht="13.5" hidden="false" customHeight="false" outlineLevel="0" collapsed="false">
      <c r="A28" s="0" t="n">
        <v>214000</v>
      </c>
      <c r="B28" s="0" t="n">
        <v>17800</v>
      </c>
    </row>
    <row r="29" customFormat="false" ht="13.5" hidden="false" customHeight="false" outlineLevel="0" collapsed="false">
      <c r="A29" s="0" t="n">
        <v>221000</v>
      </c>
      <c r="B29" s="0" t="n">
        <v>18400</v>
      </c>
    </row>
    <row r="30" customFormat="false" ht="13.5" hidden="false" customHeight="false" outlineLevel="0" collapsed="false">
      <c r="A30" s="0" t="n">
        <v>228000</v>
      </c>
      <c r="B30" s="0" t="n">
        <v>19000</v>
      </c>
    </row>
    <row r="31" customFormat="false" ht="13.5" hidden="false" customHeight="false" outlineLevel="0" collapsed="false">
      <c r="A31" s="0" t="n">
        <v>236000</v>
      </c>
      <c r="B31" s="0" t="n">
        <v>19700</v>
      </c>
    </row>
    <row r="32" customFormat="false" ht="13.5" hidden="false" customHeight="false" outlineLevel="0" collapsed="false">
      <c r="A32" s="0" t="n">
        <v>243000</v>
      </c>
      <c r="B32" s="0" t="n">
        <v>20400</v>
      </c>
    </row>
    <row r="33" customFormat="false" ht="13.5" hidden="false" customHeight="false" outlineLevel="0" collapsed="false">
      <c r="A33" s="0" t="n">
        <v>251000</v>
      </c>
      <c r="B33" s="0" t="n">
        <v>21100</v>
      </c>
    </row>
    <row r="34" customFormat="false" ht="13.5" hidden="false" customHeight="false" outlineLevel="0" collapsed="false">
      <c r="A34" s="0" t="n">
        <v>259000</v>
      </c>
      <c r="B34" s="0" t="n">
        <v>21800</v>
      </c>
    </row>
    <row r="35" customFormat="false" ht="13.5" hidden="false" customHeight="false" outlineLevel="0" collapsed="false">
      <c r="A35" s="0" t="n">
        <v>267000</v>
      </c>
      <c r="B35" s="0" t="n">
        <v>22500</v>
      </c>
    </row>
    <row r="36" customFormat="false" ht="13.5" hidden="false" customHeight="false" outlineLevel="0" collapsed="false">
      <c r="A36" s="0" t="n">
        <v>275000</v>
      </c>
      <c r="B36" s="0" t="n">
        <v>23200</v>
      </c>
    </row>
    <row r="37" customFormat="false" ht="13.5" hidden="false" customHeight="false" outlineLevel="0" collapsed="false">
      <c r="A37" s="0" t="n">
        <v>284000</v>
      </c>
      <c r="B37" s="0" t="n">
        <v>24000</v>
      </c>
    </row>
    <row r="38" customFormat="false" ht="13.5" hidden="false" customHeight="false" outlineLevel="0" collapsed="false">
      <c r="A38" s="0" t="n">
        <v>293000</v>
      </c>
      <c r="B38" s="0" t="n">
        <v>25000</v>
      </c>
    </row>
    <row r="39" customFormat="false" ht="13.5" hidden="false" customHeight="false" outlineLevel="0" collapsed="false">
      <c r="A39" s="0" t="n">
        <v>302000</v>
      </c>
      <c r="B39" s="0" t="n">
        <v>26000</v>
      </c>
    </row>
    <row r="40" customFormat="false" ht="13.5" hidden="false" customHeight="false" outlineLevel="0" collapsed="false">
      <c r="A40" s="0" t="n">
        <v>311000</v>
      </c>
      <c r="B40" s="0" t="n">
        <v>27000</v>
      </c>
    </row>
    <row r="41" customFormat="false" ht="13.5" hidden="false" customHeight="false" outlineLevel="0" collapsed="false">
      <c r="A41" s="0" t="n">
        <v>321000</v>
      </c>
      <c r="B41" s="0" t="n">
        <v>28000</v>
      </c>
    </row>
    <row r="42" customFormat="false" ht="13.5" hidden="false" customHeight="false" outlineLevel="0" collapsed="false">
      <c r="A42" s="0" t="n">
        <v>331000</v>
      </c>
      <c r="B42" s="0" t="n">
        <v>29000</v>
      </c>
    </row>
    <row r="43" customFormat="false" ht="13.5" hidden="false" customHeight="false" outlineLevel="0" collapsed="false">
      <c r="A43" s="0" t="n">
        <v>341000</v>
      </c>
      <c r="B43" s="0" t="n">
        <v>30000</v>
      </c>
    </row>
    <row r="44" customFormat="false" ht="13.5" hidden="false" customHeight="false" outlineLevel="0" collapsed="false">
      <c r="A44" s="0" t="n">
        <v>352000</v>
      </c>
      <c r="B44" s="0" t="n">
        <v>31100</v>
      </c>
    </row>
    <row r="45" customFormat="false" ht="13.5" hidden="false" customHeight="false" outlineLevel="0" collapsed="false">
      <c r="A45" s="0" t="n">
        <v>363000</v>
      </c>
      <c r="B45" s="0" t="n">
        <v>32200</v>
      </c>
    </row>
    <row r="46" customFormat="false" ht="13.5" hidden="false" customHeight="false" outlineLevel="0" collapsed="false">
      <c r="A46" s="0" t="n">
        <v>374000</v>
      </c>
      <c r="B46" s="0" t="n">
        <v>33300</v>
      </c>
    </row>
    <row r="47" customFormat="false" ht="13.5" hidden="false" customHeight="false" outlineLevel="0" collapsed="false">
      <c r="A47" s="0" t="n">
        <v>385000</v>
      </c>
      <c r="B47" s="0" t="n">
        <v>34400</v>
      </c>
    </row>
    <row r="48" customFormat="false" ht="13.5" hidden="false" customHeight="false" outlineLevel="0" collapsed="false">
      <c r="A48" s="0" t="n">
        <v>397000</v>
      </c>
      <c r="B48" s="0" t="n">
        <v>35500</v>
      </c>
    </row>
    <row r="49" customFormat="false" ht="13.5" hidden="false" customHeight="false" outlineLevel="0" collapsed="false">
      <c r="A49" s="0" t="n">
        <v>409000</v>
      </c>
      <c r="B49" s="0" t="n">
        <v>36700</v>
      </c>
    </row>
    <row r="50" customFormat="false" ht="13.5" hidden="false" customHeight="false" outlineLevel="0" collapsed="false">
      <c r="A50" s="0" t="n">
        <v>422000</v>
      </c>
      <c r="B50" s="0" t="n">
        <v>38000</v>
      </c>
    </row>
    <row r="51" customFormat="false" ht="13.5" hidden="false" customHeight="false" outlineLevel="0" collapsed="false">
      <c r="A51" s="0" t="n">
        <v>435000</v>
      </c>
      <c r="B51" s="0" t="n">
        <v>39300</v>
      </c>
    </row>
    <row r="52" customFormat="false" ht="13.5" hidden="false" customHeight="false" outlineLevel="0" collapsed="false">
      <c r="A52" s="0" t="n">
        <v>449000</v>
      </c>
      <c r="B52" s="0" t="n">
        <v>40700</v>
      </c>
    </row>
    <row r="53" customFormat="false" ht="13.5" hidden="false" customHeight="false" outlineLevel="0" collapsed="false">
      <c r="A53" s="0" t="n">
        <v>463000</v>
      </c>
      <c r="B53" s="0" t="n">
        <v>42100</v>
      </c>
    </row>
    <row r="54" customFormat="false" ht="13.5" hidden="false" customHeight="false" outlineLevel="0" collapsed="false">
      <c r="A54" s="0" t="n">
        <v>477000</v>
      </c>
      <c r="B54" s="0" t="n">
        <v>43500</v>
      </c>
    </row>
    <row r="55" customFormat="false" ht="13.5" hidden="false" customHeight="false" outlineLevel="0" collapsed="false">
      <c r="A55" s="0" t="n">
        <v>492000</v>
      </c>
      <c r="B55" s="0" t="n">
        <v>45000</v>
      </c>
    </row>
    <row r="56" customFormat="false" ht="13.5" hidden="false" customHeight="false" outlineLevel="0" collapsed="false">
      <c r="A56" s="0" t="n">
        <v>507000</v>
      </c>
      <c r="B56" s="0" t="n">
        <v>46500</v>
      </c>
    </row>
    <row r="57" customFormat="false" ht="13.5" hidden="false" customHeight="false" outlineLevel="0" collapsed="false">
      <c r="A57" s="0" t="n">
        <v>523000</v>
      </c>
      <c r="B57" s="0" t="n">
        <v>48000</v>
      </c>
    </row>
    <row r="58" customFormat="false" ht="13.5" hidden="false" customHeight="false" outlineLevel="0" collapsed="false">
      <c r="A58" s="0" t="n">
        <v>540000</v>
      </c>
      <c r="B58" s="0" t="n">
        <v>49600</v>
      </c>
    </row>
    <row r="59" customFormat="false" ht="13.5" hidden="false" customHeight="false" outlineLevel="0" collapsed="false">
      <c r="A59" s="0" t="n">
        <v>557000</v>
      </c>
      <c r="B59" s="0" t="n">
        <v>51300</v>
      </c>
    </row>
    <row r="60" customFormat="false" ht="13.5" hidden="false" customHeight="false" outlineLevel="0" collapsed="false">
      <c r="A60" s="0" t="n">
        <v>575000</v>
      </c>
      <c r="B60" s="0" t="n">
        <v>53000</v>
      </c>
    </row>
    <row r="61" customFormat="false" ht="13.5" hidden="false" customHeight="false" outlineLevel="0" collapsed="false">
      <c r="A61" s="0" t="n">
        <v>594000</v>
      </c>
      <c r="B61" s="0" t="n">
        <v>54800</v>
      </c>
    </row>
    <row r="62" customFormat="false" ht="13.5" hidden="false" customHeight="false" outlineLevel="0" collapsed="false">
      <c r="A62" s="0" t="n">
        <v>614000</v>
      </c>
      <c r="B62" s="0" t="n">
        <v>56600</v>
      </c>
    </row>
    <row r="63" customFormat="false" ht="13.5" hidden="false" customHeight="false" outlineLevel="0" collapsed="false">
      <c r="A63" s="0" t="n">
        <v>635000</v>
      </c>
      <c r="B63" s="0" t="n">
        <v>58500</v>
      </c>
    </row>
    <row r="64" customFormat="false" ht="13.5" hidden="false" customHeight="false" outlineLevel="0" collapsed="false">
      <c r="A64" s="0" t="n">
        <v>657000</v>
      </c>
      <c r="B64" s="0" t="n">
        <v>60500</v>
      </c>
    </row>
    <row r="65" customFormat="false" ht="13.5" hidden="false" customHeight="false" outlineLevel="0" collapsed="false">
      <c r="A65" s="0" t="n">
        <v>680000</v>
      </c>
      <c r="B65" s="0" t="n">
        <v>62700</v>
      </c>
    </row>
    <row r="66" customFormat="false" ht="13.5" hidden="false" customHeight="false" outlineLevel="0" collapsed="false">
      <c r="A66" s="0" t="n">
        <v>704000</v>
      </c>
      <c r="B66" s="0" t="n">
        <v>65100</v>
      </c>
    </row>
    <row r="67" customFormat="false" ht="13.5" hidden="false" customHeight="false" outlineLevel="0" collapsed="false">
      <c r="A67" s="0" t="n">
        <v>729000</v>
      </c>
      <c r="B67" s="0" t="n">
        <v>68700</v>
      </c>
    </row>
    <row r="68" customFormat="false" ht="13.5" hidden="false" customHeight="false" outlineLevel="0" collapsed="false">
      <c r="A68" s="0" t="n">
        <v>754000</v>
      </c>
      <c r="B68" s="0" t="n">
        <v>72700</v>
      </c>
    </row>
    <row r="69" customFormat="false" ht="13.5" hidden="false" customHeight="false" outlineLevel="0" collapsed="false">
      <c r="A69" s="0" t="n">
        <v>780000</v>
      </c>
      <c r="B69" s="0" t="n">
        <v>76800</v>
      </c>
    </row>
    <row r="70" customFormat="false" ht="13.5" hidden="false" customHeight="false" outlineLevel="0" collapsed="false">
      <c r="A70" s="0" t="n">
        <v>807000</v>
      </c>
      <c r="B70" s="0" t="n">
        <v>81100</v>
      </c>
    </row>
    <row r="71" customFormat="false" ht="13.5" hidden="false" customHeight="false" outlineLevel="0" collapsed="false">
      <c r="A71" s="0" t="n">
        <v>835000</v>
      </c>
      <c r="B71" s="0" t="n">
        <v>85400</v>
      </c>
    </row>
    <row r="72" customFormat="false" ht="13.5" hidden="false" customHeight="false" outlineLevel="0" collapsed="false">
      <c r="A72" s="0" t="n">
        <v>864000</v>
      </c>
      <c r="B72" s="0" t="n">
        <v>90000</v>
      </c>
    </row>
    <row r="73" customFormat="false" ht="13.5" hidden="false" customHeight="false" outlineLevel="0" collapsed="false">
      <c r="A73" s="0" t="n">
        <v>894000</v>
      </c>
      <c r="B73" s="0" t="n">
        <v>94600</v>
      </c>
    </row>
    <row r="74" customFormat="false" ht="13.5" hidden="false" customHeight="false" outlineLevel="0" collapsed="false">
      <c r="A74" s="0" t="n">
        <v>925000</v>
      </c>
      <c r="B74" s="0" t="n">
        <v>100400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6.82"/>
    <col collapsed="false" customWidth="true" hidden="false" outlineLevel="0" max="2" min="2" style="0" width="3.81"/>
    <col collapsed="false" customWidth="true" hidden="false" outlineLevel="0" max="4" min="3" style="0" width="11.04"/>
    <col collapsed="false" customWidth="true" hidden="false" outlineLevel="0" max="5" min="5" style="0" width="8.99"/>
    <col collapsed="false" customWidth="true" hidden="false" outlineLevel="0" max="6" min="6" style="0" width="11.04"/>
    <col collapsed="false" customWidth="true" hidden="false" outlineLevel="0" max="7" min="7" style="0" width="14.04"/>
    <col collapsed="false" customWidth="true" hidden="false" outlineLevel="0" max="9" min="8" style="0" width="11.04"/>
    <col collapsed="false" customWidth="true" hidden="false" outlineLevel="0" max="10" min="10" style="0" width="17.99"/>
    <col collapsed="false" customWidth="true" hidden="false" outlineLevel="0" max="11" min="11" style="0" width="12.81"/>
    <col collapsed="false" customWidth="true" hidden="false" outlineLevel="0" max="12" min="12" style="0" width="11.99"/>
    <col collapsed="false" customWidth="true" hidden="false" outlineLevel="0" max="13" min="13" style="0" width="9.82"/>
    <col collapsed="false" customWidth="true" hidden="false" outlineLevel="0" max="14" min="14" style="0" width="15.81"/>
    <col collapsed="false" customWidth="true" hidden="false" outlineLevel="0" max="15" min="15" style="0" width="12.81"/>
  </cols>
  <sheetData>
    <row r="1" customFormat="false" ht="36" hidden="false" customHeight="true" outlineLevel="0" collapsed="false">
      <c r="A1" s="2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4" hidden="false" customHeight="true" outlineLevel="0" collapsed="false">
      <c r="A2" s="3" t="s">
        <v>3</v>
      </c>
      <c r="B2" s="3"/>
      <c r="C2" s="4" t="s">
        <v>4</v>
      </c>
      <c r="D2" s="4"/>
      <c r="E2" s="4"/>
      <c r="F2" s="4"/>
      <c r="G2" s="3" t="s">
        <v>5</v>
      </c>
      <c r="H2" s="3"/>
      <c r="I2" s="5" t="n">
        <v>1300</v>
      </c>
      <c r="J2" s="5"/>
      <c r="K2" s="5"/>
      <c r="L2" s="6" t="s">
        <v>6</v>
      </c>
      <c r="M2" s="6"/>
      <c r="N2" s="6"/>
      <c r="O2" s="6"/>
    </row>
    <row r="3" customFormat="false" ht="42" hidden="false" customHeight="true" outlineLevel="0" collapsed="false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8" t="s">
        <v>19</v>
      </c>
      <c r="N3" s="8" t="s">
        <v>20</v>
      </c>
      <c r="O3" s="8" t="s">
        <v>21</v>
      </c>
    </row>
    <row r="4" customFormat="false" ht="18.75" hidden="false" customHeight="true" outlineLevel="0" collapsed="false">
      <c r="A4" s="9" t="s">
        <v>22</v>
      </c>
      <c r="B4" s="10" t="s">
        <v>23</v>
      </c>
      <c r="C4" s="11"/>
      <c r="D4" s="11"/>
      <c r="E4" s="12" t="str">
        <f aca="false">IF(AND(C4&lt;&gt;"",D4&lt;&gt;""),IF(D4&gt;=C4,ROUND((D4-C4)*24,2),ROUND((D4-C4+1)*24,2)),"")</f>
        <v/>
      </c>
      <c r="F4" s="13" t="str">
        <f aca="false">IF(E4&lt;&gt;"",ROUND(E4*$I$2,0),"")</f>
        <v/>
      </c>
      <c r="G4" s="14"/>
      <c r="H4" s="15"/>
      <c r="I4" s="16"/>
      <c r="J4" s="14"/>
      <c r="K4" s="16"/>
      <c r="L4" s="15"/>
      <c r="M4" s="17"/>
      <c r="N4" s="18"/>
      <c r="O4" s="17"/>
    </row>
    <row r="5" customFormat="false" ht="18.75" hidden="false" customHeight="true" outlineLevel="0" collapsed="false">
      <c r="A5" s="9" t="s">
        <v>24</v>
      </c>
      <c r="B5" s="10" t="s">
        <v>25</v>
      </c>
      <c r="C5" s="11"/>
      <c r="D5" s="11"/>
      <c r="E5" s="12" t="str">
        <f aca="false">IF(AND(C5&lt;&gt;"",D5&lt;&gt;""),IF(D5&gt;=C5,ROUND((D5-C5)*24,2),ROUND((D5-C5+1)*24,2)),"")</f>
        <v/>
      </c>
      <c r="F5" s="13" t="str">
        <f aca="false">IF(E5&lt;&gt;"",ROUND(E5*$I$2,0),"")</f>
        <v/>
      </c>
      <c r="G5" s="14"/>
      <c r="H5" s="15"/>
      <c r="I5" s="16"/>
      <c r="J5" s="14"/>
      <c r="K5" s="16"/>
      <c r="L5" s="15"/>
      <c r="M5" s="17"/>
      <c r="N5" s="18"/>
      <c r="O5" s="17"/>
    </row>
    <row r="6" customFormat="false" ht="18.75" hidden="false" customHeight="true" outlineLevel="0" collapsed="false">
      <c r="A6" s="19" t="s">
        <v>26</v>
      </c>
      <c r="B6" s="20" t="s">
        <v>27</v>
      </c>
      <c r="C6" s="21"/>
      <c r="D6" s="21"/>
      <c r="E6" s="22" t="str">
        <f aca="false">IF(AND(C6&lt;&gt;"",D6&lt;&gt;""),IF(D6&gt;=C6,ROUND((D6-C6)*24,2),ROUND((D6-C6+1)*24,2)),"")</f>
        <v/>
      </c>
      <c r="F6" s="23" t="str">
        <f aca="false">IF(E6&lt;&gt;"",ROUND(E6*$I$2,0),"")</f>
        <v/>
      </c>
      <c r="G6" s="24"/>
      <c r="H6" s="25"/>
      <c r="I6" s="23"/>
      <c r="J6" s="24"/>
      <c r="K6" s="23"/>
      <c r="L6" s="25"/>
      <c r="M6" s="23"/>
      <c r="N6" s="24"/>
      <c r="O6" s="23"/>
    </row>
    <row r="7" customFormat="false" ht="18.75" hidden="false" customHeight="true" outlineLevel="0" collapsed="false">
      <c r="A7" s="26" t="s">
        <v>28</v>
      </c>
      <c r="B7" s="27" t="s">
        <v>29</v>
      </c>
      <c r="C7" s="28"/>
      <c r="D7" s="28"/>
      <c r="E7" s="29" t="str">
        <f aca="false">IF(AND(C7&lt;&gt;"",D7&lt;&gt;""),IF(D7&gt;=C7,ROUND((D7-C7)*24,2),ROUND((D7-C7+1)*24,2)),"")</f>
        <v/>
      </c>
      <c r="F7" s="30" t="str">
        <f aca="false">IF(E7&lt;&gt;"",ROUND(E7*$I$2,0),"")</f>
        <v/>
      </c>
      <c r="G7" s="31"/>
      <c r="H7" s="32"/>
      <c r="I7" s="30"/>
      <c r="J7" s="31"/>
      <c r="K7" s="30"/>
      <c r="L7" s="32"/>
      <c r="M7" s="30"/>
      <c r="N7" s="31"/>
      <c r="O7" s="30"/>
    </row>
    <row r="8" customFormat="false" ht="18.75" hidden="false" customHeight="true" outlineLevel="0" collapsed="false">
      <c r="A8" s="9" t="s">
        <v>30</v>
      </c>
      <c r="B8" s="10" t="s">
        <v>31</v>
      </c>
      <c r="C8" s="11"/>
      <c r="D8" s="11"/>
      <c r="E8" s="12" t="str">
        <f aca="false">IF(AND(C8&lt;&gt;"",D8&lt;&gt;""),IF(D8&gt;=C8,ROUND((D8-C8)*24,2),ROUND((D8-C8+1)*24,2)),"")</f>
        <v/>
      </c>
      <c r="F8" s="13" t="str">
        <f aca="false">IF(E8&lt;&gt;"",ROUND(E8*$I$2,0),"")</f>
        <v/>
      </c>
      <c r="G8" s="14"/>
      <c r="H8" s="15"/>
      <c r="I8" s="16"/>
      <c r="J8" s="14"/>
      <c r="K8" s="16"/>
      <c r="L8" s="15"/>
      <c r="M8" s="17"/>
      <c r="N8" s="18"/>
      <c r="O8" s="17"/>
    </row>
    <row r="9" customFormat="false" ht="18.75" hidden="false" customHeight="true" outlineLevel="0" collapsed="false">
      <c r="A9" s="9" t="s">
        <v>32</v>
      </c>
      <c r="B9" s="10" t="s">
        <v>33</v>
      </c>
      <c r="C9" s="11"/>
      <c r="D9" s="11"/>
      <c r="E9" s="12" t="str">
        <f aca="false">IF(AND(C9&lt;&gt;"",D9&lt;&gt;""),IF(D9&gt;=C9,ROUND((D9-C9)*24,2),ROUND((D9-C9+1)*24,2)),"")</f>
        <v/>
      </c>
      <c r="F9" s="13" t="str">
        <f aca="false">IF(E9&lt;&gt;"",ROUND(E9*$I$2,0),"")</f>
        <v/>
      </c>
      <c r="G9" s="14"/>
      <c r="H9" s="15"/>
      <c r="I9" s="16"/>
      <c r="J9" s="14"/>
      <c r="K9" s="16"/>
      <c r="L9" s="15"/>
      <c r="M9" s="17"/>
      <c r="N9" s="18"/>
      <c r="O9" s="17"/>
    </row>
    <row r="10" customFormat="false" ht="18.75" hidden="false" customHeight="true" outlineLevel="0" collapsed="false">
      <c r="A10" s="9" t="s">
        <v>34</v>
      </c>
      <c r="B10" s="10" t="s">
        <v>35</v>
      </c>
      <c r="C10" s="11"/>
      <c r="D10" s="11"/>
      <c r="E10" s="12" t="str">
        <f aca="false">IF(AND(C10&lt;&gt;"",D10&lt;&gt;""),IF(D10&gt;=C10,ROUND((D10-C10)*24,2),ROUND((D10-C10+1)*24,2)),"")</f>
        <v/>
      </c>
      <c r="F10" s="13" t="str">
        <f aca="false">IF(E10&lt;&gt;"",ROUND(E10*$I$2,0),"")</f>
        <v/>
      </c>
      <c r="G10" s="14"/>
      <c r="H10" s="15"/>
      <c r="I10" s="16"/>
      <c r="J10" s="14"/>
      <c r="K10" s="16"/>
      <c r="L10" s="15"/>
      <c r="M10" s="17"/>
      <c r="N10" s="18"/>
      <c r="O10" s="17"/>
    </row>
    <row r="11" customFormat="false" ht="18.75" hidden="false" customHeight="true" outlineLevel="0" collapsed="false">
      <c r="A11" s="9" t="s">
        <v>36</v>
      </c>
      <c r="B11" s="10" t="s">
        <v>23</v>
      </c>
      <c r="C11" s="11"/>
      <c r="D11" s="11"/>
      <c r="E11" s="12" t="str">
        <f aca="false">IF(AND(C11&lt;&gt;"",D11&lt;&gt;""),IF(D11&gt;=C11,ROUND((D11-C11)*24,2),ROUND((D11-C11+1)*24,2)),"")</f>
        <v/>
      </c>
      <c r="F11" s="13" t="str">
        <f aca="false">IF(E11&lt;&gt;"",ROUND(E11*$I$2,0),"")</f>
        <v/>
      </c>
      <c r="G11" s="14"/>
      <c r="H11" s="15"/>
      <c r="I11" s="16"/>
      <c r="J11" s="14"/>
      <c r="K11" s="16"/>
      <c r="L11" s="15"/>
      <c r="M11" s="17"/>
      <c r="N11" s="18"/>
      <c r="O11" s="17"/>
    </row>
    <row r="12" customFormat="false" ht="18.75" hidden="false" customHeight="true" outlineLevel="0" collapsed="false">
      <c r="A12" s="9" t="s">
        <v>37</v>
      </c>
      <c r="B12" s="10" t="s">
        <v>25</v>
      </c>
      <c r="C12" s="11"/>
      <c r="D12" s="11"/>
      <c r="E12" s="12" t="str">
        <f aca="false">IF(AND(C12&lt;&gt;"",D12&lt;&gt;""),IF(D12&gt;=C12,ROUND((D12-C12)*24,2),ROUND((D12-C12+1)*24,2)),"")</f>
        <v/>
      </c>
      <c r="F12" s="13" t="str">
        <f aca="false">IF(E12&lt;&gt;"",ROUND(E12*$I$2,0),"")</f>
        <v/>
      </c>
      <c r="G12" s="14"/>
      <c r="H12" s="15"/>
      <c r="I12" s="16"/>
      <c r="J12" s="14"/>
      <c r="K12" s="16"/>
      <c r="L12" s="15"/>
      <c r="M12" s="17"/>
      <c r="N12" s="18"/>
      <c r="O12" s="17"/>
    </row>
    <row r="13" customFormat="false" ht="18.75" hidden="false" customHeight="true" outlineLevel="0" collapsed="false">
      <c r="A13" s="19" t="s">
        <v>38</v>
      </c>
      <c r="B13" s="20" t="s">
        <v>27</v>
      </c>
      <c r="C13" s="21"/>
      <c r="D13" s="21"/>
      <c r="E13" s="22" t="str">
        <f aca="false">IF(AND(C13&lt;&gt;"",D13&lt;&gt;""),IF(D13&gt;=C13,ROUND((D13-C13)*24,2),ROUND((D13-C13+1)*24,2)),"")</f>
        <v/>
      </c>
      <c r="F13" s="23" t="str">
        <f aca="false">IF(E13&lt;&gt;"",ROUND(E13*$I$2,0),"")</f>
        <v/>
      </c>
      <c r="G13" s="24"/>
      <c r="H13" s="25"/>
      <c r="I13" s="23"/>
      <c r="J13" s="24"/>
      <c r="K13" s="23"/>
      <c r="L13" s="25"/>
      <c r="M13" s="23"/>
      <c r="N13" s="24"/>
      <c r="O13" s="23"/>
    </row>
    <row r="14" customFormat="false" ht="18.75" hidden="false" customHeight="true" outlineLevel="0" collapsed="false">
      <c r="A14" s="26" t="s">
        <v>39</v>
      </c>
      <c r="B14" s="27" t="s">
        <v>29</v>
      </c>
      <c r="C14" s="28"/>
      <c r="D14" s="28"/>
      <c r="E14" s="29" t="str">
        <f aca="false">IF(AND(C14&lt;&gt;"",D14&lt;&gt;""),IF(D14&gt;=C14,ROUND((D14-C14)*24,2),ROUND((D14-C14+1)*24,2)),"")</f>
        <v/>
      </c>
      <c r="F14" s="30" t="str">
        <f aca="false">IF(E14&lt;&gt;"",ROUND(E14*$I$2,0),"")</f>
        <v/>
      </c>
      <c r="G14" s="31"/>
      <c r="H14" s="32"/>
      <c r="I14" s="30"/>
      <c r="J14" s="31"/>
      <c r="K14" s="30"/>
      <c r="L14" s="32"/>
      <c r="M14" s="30"/>
      <c r="N14" s="31"/>
      <c r="O14" s="30"/>
    </row>
    <row r="15" customFormat="false" ht="18.75" hidden="false" customHeight="true" outlineLevel="0" collapsed="false">
      <c r="A15" s="9" t="s">
        <v>40</v>
      </c>
      <c r="B15" s="10" t="s">
        <v>31</v>
      </c>
      <c r="C15" s="11"/>
      <c r="D15" s="11"/>
      <c r="E15" s="12" t="str">
        <f aca="false">IF(AND(C15&lt;&gt;"",D15&lt;&gt;""),IF(D15&gt;=C15,ROUND((D15-C15)*24,2),ROUND((D15-C15+1)*24,2)),"")</f>
        <v/>
      </c>
      <c r="F15" s="13" t="str">
        <f aca="false">IF(E15&lt;&gt;"",ROUND(E15*$I$2,0),"")</f>
        <v/>
      </c>
      <c r="G15" s="14"/>
      <c r="H15" s="15"/>
      <c r="I15" s="16"/>
      <c r="J15" s="14"/>
      <c r="K15" s="16"/>
      <c r="L15" s="15"/>
      <c r="M15" s="17"/>
      <c r="N15" s="18"/>
      <c r="O15" s="17"/>
    </row>
    <row r="16" customFormat="false" ht="18.75" hidden="false" customHeight="true" outlineLevel="0" collapsed="false">
      <c r="A16" s="9" t="s">
        <v>41</v>
      </c>
      <c r="B16" s="10" t="s">
        <v>33</v>
      </c>
      <c r="C16" s="11"/>
      <c r="D16" s="11"/>
      <c r="E16" s="12" t="str">
        <f aca="false">IF(AND(C16&lt;&gt;"",D16&lt;&gt;""),IF(D16&gt;=C16,ROUND((D16-C16)*24,2),ROUND((D16-C16+1)*24,2)),"")</f>
        <v/>
      </c>
      <c r="F16" s="13" t="str">
        <f aca="false">IF(E16&lt;&gt;"",ROUND(E16*$I$2,0),"")</f>
        <v/>
      </c>
      <c r="G16" s="14"/>
      <c r="H16" s="15"/>
      <c r="I16" s="16"/>
      <c r="J16" s="14"/>
      <c r="K16" s="16"/>
      <c r="L16" s="15"/>
      <c r="M16" s="17"/>
      <c r="N16" s="18"/>
      <c r="O16" s="17"/>
    </row>
    <row r="17" customFormat="false" ht="18.75" hidden="false" customHeight="true" outlineLevel="0" collapsed="false">
      <c r="A17" s="9" t="s">
        <v>42</v>
      </c>
      <c r="B17" s="10" t="s">
        <v>35</v>
      </c>
      <c r="C17" s="11"/>
      <c r="D17" s="11"/>
      <c r="E17" s="12" t="str">
        <f aca="false">IF(AND(C17&lt;&gt;"",D17&lt;&gt;""),IF(D17&gt;=C17,ROUND((D17-C17)*24,2),ROUND((D17-C17+1)*24,2)),"")</f>
        <v/>
      </c>
      <c r="F17" s="13" t="str">
        <f aca="false">IF(E17&lt;&gt;"",ROUND(E17*$I$2,0),"")</f>
        <v/>
      </c>
      <c r="G17" s="14"/>
      <c r="H17" s="15"/>
      <c r="I17" s="16"/>
      <c r="J17" s="14"/>
      <c r="K17" s="16"/>
      <c r="L17" s="15"/>
      <c r="M17" s="17"/>
      <c r="N17" s="18"/>
      <c r="O17" s="17"/>
    </row>
    <row r="18" customFormat="false" ht="18.75" hidden="false" customHeight="true" outlineLevel="0" collapsed="false">
      <c r="A18" s="9" t="s">
        <v>43</v>
      </c>
      <c r="B18" s="10" t="s">
        <v>23</v>
      </c>
      <c r="C18" s="11"/>
      <c r="D18" s="11"/>
      <c r="E18" s="12" t="str">
        <f aca="false">IF(AND(C18&lt;&gt;"",D18&lt;&gt;""),IF(D18&gt;=C18,ROUND((D18-C18)*24,2),ROUND((D18-C18+1)*24,2)),"")</f>
        <v/>
      </c>
      <c r="F18" s="13" t="str">
        <f aca="false">IF(E18&lt;&gt;"",ROUND(E18*$I$2,0),"")</f>
        <v/>
      </c>
      <c r="G18" s="14"/>
      <c r="H18" s="15"/>
      <c r="I18" s="16"/>
      <c r="J18" s="14"/>
      <c r="K18" s="16"/>
      <c r="L18" s="15"/>
      <c r="M18" s="17"/>
      <c r="N18" s="18"/>
      <c r="O18" s="17"/>
    </row>
    <row r="19" customFormat="false" ht="18.75" hidden="false" customHeight="true" outlineLevel="0" collapsed="false">
      <c r="A19" s="9" t="s">
        <v>44</v>
      </c>
      <c r="B19" s="10" t="s">
        <v>25</v>
      </c>
      <c r="C19" s="11"/>
      <c r="D19" s="11"/>
      <c r="E19" s="12" t="str">
        <f aca="false">IF(AND(C19&lt;&gt;"",D19&lt;&gt;""),IF(D19&gt;=C19,ROUND((D19-C19)*24,2),ROUND((D19-C19+1)*24,2)),"")</f>
        <v/>
      </c>
      <c r="F19" s="13" t="str">
        <f aca="false">IF(E19&lt;&gt;"",ROUND(E19*$I$2,0),"")</f>
        <v/>
      </c>
      <c r="G19" s="14"/>
      <c r="H19" s="15"/>
      <c r="I19" s="16"/>
      <c r="J19" s="14"/>
      <c r="K19" s="16"/>
      <c r="L19" s="15"/>
      <c r="M19" s="17"/>
      <c r="N19" s="18"/>
      <c r="O19" s="17"/>
    </row>
    <row r="20" customFormat="false" ht="18.75" hidden="false" customHeight="true" outlineLevel="0" collapsed="false">
      <c r="A20" s="19" t="s">
        <v>45</v>
      </c>
      <c r="B20" s="20" t="s">
        <v>27</v>
      </c>
      <c r="C20" s="21"/>
      <c r="D20" s="21"/>
      <c r="E20" s="22" t="str">
        <f aca="false">IF(AND(C20&lt;&gt;"",D20&lt;&gt;""),IF(D20&gt;=C20,ROUND((D20-C20)*24,2),ROUND((D20-C20+1)*24,2)),"")</f>
        <v/>
      </c>
      <c r="F20" s="23" t="str">
        <f aca="false">IF(E20&lt;&gt;"",ROUND(E20*$I$2,0),"")</f>
        <v/>
      </c>
      <c r="G20" s="24"/>
      <c r="H20" s="25"/>
      <c r="I20" s="23"/>
      <c r="J20" s="24"/>
      <c r="K20" s="23"/>
      <c r="L20" s="25"/>
      <c r="M20" s="23"/>
      <c r="N20" s="24"/>
      <c r="O20" s="23"/>
    </row>
    <row r="21" customFormat="false" ht="18.75" hidden="false" customHeight="true" outlineLevel="0" collapsed="false">
      <c r="A21" s="26" t="s">
        <v>46</v>
      </c>
      <c r="B21" s="27" t="s">
        <v>29</v>
      </c>
      <c r="C21" s="28"/>
      <c r="D21" s="28"/>
      <c r="E21" s="29" t="str">
        <f aca="false">IF(AND(C21&lt;&gt;"",D21&lt;&gt;""),IF(D21&gt;=C21,ROUND((D21-C21)*24,2),ROUND((D21-C21+1)*24,2)),"")</f>
        <v/>
      </c>
      <c r="F21" s="30" t="str">
        <f aca="false">IF(E21&lt;&gt;"",ROUND(E21*$I$2,0),"")</f>
        <v/>
      </c>
      <c r="G21" s="31"/>
      <c r="H21" s="32"/>
      <c r="I21" s="30"/>
      <c r="J21" s="31"/>
      <c r="K21" s="30"/>
      <c r="L21" s="32"/>
      <c r="M21" s="30"/>
      <c r="N21" s="31"/>
      <c r="O21" s="30"/>
    </row>
    <row r="22" customFormat="false" ht="18.75" hidden="false" customHeight="true" outlineLevel="0" collapsed="false">
      <c r="A22" s="9" t="s">
        <v>47</v>
      </c>
      <c r="B22" s="10" t="s">
        <v>31</v>
      </c>
      <c r="C22" s="11"/>
      <c r="D22" s="11"/>
      <c r="E22" s="12" t="str">
        <f aca="false">IF(AND(C22&lt;&gt;"",D22&lt;&gt;""),IF(D22&gt;=C22,ROUND((D22-C22)*24,2),ROUND((D22-C22+1)*24,2)),"")</f>
        <v/>
      </c>
      <c r="F22" s="13" t="str">
        <f aca="false">IF(E22&lt;&gt;"",ROUND(E22*$I$2,0),"")</f>
        <v/>
      </c>
      <c r="G22" s="14"/>
      <c r="H22" s="15"/>
      <c r="I22" s="16"/>
      <c r="J22" s="14"/>
      <c r="K22" s="16"/>
      <c r="L22" s="15"/>
      <c r="M22" s="17"/>
      <c r="N22" s="18"/>
      <c r="O22" s="17"/>
    </row>
    <row r="23" customFormat="false" ht="18.75" hidden="false" customHeight="true" outlineLevel="0" collapsed="false">
      <c r="A23" s="9" t="s">
        <v>48</v>
      </c>
      <c r="B23" s="10" t="s">
        <v>33</v>
      </c>
      <c r="C23" s="11"/>
      <c r="D23" s="11"/>
      <c r="E23" s="12" t="str">
        <f aca="false">IF(AND(C23&lt;&gt;"",D23&lt;&gt;""),IF(D23&gt;=C23,ROUND((D23-C23)*24,2),ROUND((D23-C23+1)*24,2)),"")</f>
        <v/>
      </c>
      <c r="F23" s="13" t="str">
        <f aca="false">IF(E23&lt;&gt;"",ROUND(E23*$I$2,0),"")</f>
        <v/>
      </c>
      <c r="G23" s="14"/>
      <c r="H23" s="15"/>
      <c r="I23" s="16"/>
      <c r="J23" s="14"/>
      <c r="K23" s="16"/>
      <c r="L23" s="15"/>
      <c r="M23" s="17"/>
      <c r="N23" s="18"/>
      <c r="O23" s="17"/>
    </row>
    <row r="24" customFormat="false" ht="18.75" hidden="false" customHeight="true" outlineLevel="0" collapsed="false">
      <c r="A24" s="9" t="s">
        <v>49</v>
      </c>
      <c r="B24" s="10" t="s">
        <v>35</v>
      </c>
      <c r="C24" s="11"/>
      <c r="D24" s="11"/>
      <c r="E24" s="12" t="str">
        <f aca="false">IF(AND(C24&lt;&gt;"",D24&lt;&gt;""),IF(D24&gt;=C24,ROUND((D24-C24)*24,2),ROUND((D24-C24+1)*24,2)),"")</f>
        <v/>
      </c>
      <c r="F24" s="13" t="str">
        <f aca="false">IF(E24&lt;&gt;"",ROUND(E24*$I$2,0),"")</f>
        <v/>
      </c>
      <c r="G24" s="14"/>
      <c r="H24" s="15"/>
      <c r="I24" s="16"/>
      <c r="J24" s="14"/>
      <c r="K24" s="16"/>
      <c r="L24" s="15"/>
      <c r="M24" s="17"/>
      <c r="N24" s="18"/>
      <c r="O24" s="17"/>
    </row>
    <row r="25" customFormat="false" ht="18.75" hidden="false" customHeight="true" outlineLevel="0" collapsed="false">
      <c r="A25" s="9" t="s">
        <v>50</v>
      </c>
      <c r="B25" s="10" t="s">
        <v>23</v>
      </c>
      <c r="C25" s="11"/>
      <c r="D25" s="11"/>
      <c r="E25" s="12" t="str">
        <f aca="false">IF(AND(C25&lt;&gt;"",D25&lt;&gt;""),IF(D25&gt;=C25,ROUND((D25-C25)*24,2),ROUND((D25-C25+1)*24,2)),"")</f>
        <v/>
      </c>
      <c r="F25" s="13" t="str">
        <f aca="false">IF(E25&lt;&gt;"",ROUND(E25*$I$2,0),"")</f>
        <v/>
      </c>
      <c r="G25" s="14"/>
      <c r="H25" s="15"/>
      <c r="I25" s="16"/>
      <c r="J25" s="14"/>
      <c r="K25" s="16"/>
      <c r="L25" s="15"/>
      <c r="M25" s="17"/>
      <c r="N25" s="18"/>
      <c r="O25" s="17"/>
    </row>
    <row r="26" customFormat="false" ht="18.75" hidden="false" customHeight="true" outlineLevel="0" collapsed="false">
      <c r="A26" s="9" t="s">
        <v>51</v>
      </c>
      <c r="B26" s="10" t="s">
        <v>25</v>
      </c>
      <c r="C26" s="11"/>
      <c r="D26" s="11"/>
      <c r="E26" s="12" t="str">
        <f aca="false">IF(AND(C26&lt;&gt;"",D26&lt;&gt;""),IF(D26&gt;=C26,ROUND((D26-C26)*24,2),ROUND((D26-C26+1)*24,2)),"")</f>
        <v/>
      </c>
      <c r="F26" s="13" t="str">
        <f aca="false">IF(E26&lt;&gt;"",ROUND(E26*$I$2,0),"")</f>
        <v/>
      </c>
      <c r="G26" s="14"/>
      <c r="H26" s="15"/>
      <c r="I26" s="16"/>
      <c r="J26" s="14"/>
      <c r="K26" s="16"/>
      <c r="L26" s="15"/>
      <c r="M26" s="17"/>
      <c r="N26" s="18"/>
      <c r="O26" s="17"/>
    </row>
    <row r="27" customFormat="false" ht="18.75" hidden="false" customHeight="true" outlineLevel="0" collapsed="false">
      <c r="A27" s="19" t="s">
        <v>52</v>
      </c>
      <c r="B27" s="20" t="s">
        <v>27</v>
      </c>
      <c r="C27" s="21"/>
      <c r="D27" s="21"/>
      <c r="E27" s="22" t="str">
        <f aca="false">IF(AND(C27&lt;&gt;"",D27&lt;&gt;""),IF(D27&gt;=C27,ROUND((D27-C27)*24,2),ROUND((D27-C27+1)*24,2)),"")</f>
        <v/>
      </c>
      <c r="F27" s="23" t="str">
        <f aca="false">IF(E27&lt;&gt;"",ROUND(E27*$I$2,0),"")</f>
        <v/>
      </c>
      <c r="G27" s="24"/>
      <c r="H27" s="25"/>
      <c r="I27" s="23"/>
      <c r="J27" s="24"/>
      <c r="K27" s="23"/>
      <c r="L27" s="25"/>
      <c r="M27" s="23"/>
      <c r="N27" s="24"/>
      <c r="O27" s="23"/>
    </row>
    <row r="28" customFormat="false" ht="18.75" hidden="false" customHeight="true" outlineLevel="0" collapsed="false">
      <c r="A28" s="26" t="s">
        <v>53</v>
      </c>
      <c r="B28" s="27" t="s">
        <v>29</v>
      </c>
      <c r="C28" s="28"/>
      <c r="D28" s="28"/>
      <c r="E28" s="29" t="str">
        <f aca="false">IF(AND(C28&lt;&gt;"",D28&lt;&gt;""),IF(D28&gt;=C28,ROUND((D28-C28)*24,2),ROUND((D28-C28+1)*24,2)),"")</f>
        <v/>
      </c>
      <c r="F28" s="30" t="str">
        <f aca="false">IF(E28&lt;&gt;"",ROUND(E28*$I$2,0),"")</f>
        <v/>
      </c>
      <c r="G28" s="31"/>
      <c r="H28" s="32"/>
      <c r="I28" s="30"/>
      <c r="J28" s="31"/>
      <c r="K28" s="30"/>
      <c r="L28" s="32"/>
      <c r="M28" s="30"/>
      <c r="N28" s="31"/>
      <c r="O28" s="30"/>
    </row>
    <row r="29" customFormat="false" ht="18.75" hidden="false" customHeight="true" outlineLevel="0" collapsed="false">
      <c r="A29" s="9" t="s">
        <v>54</v>
      </c>
      <c r="B29" s="10" t="s">
        <v>31</v>
      </c>
      <c r="C29" s="11"/>
      <c r="D29" s="11"/>
      <c r="E29" s="12" t="str">
        <f aca="false">IF(AND(C29&lt;&gt;"",D29&lt;&gt;""),IF(D29&gt;=C29,ROUND((D29-C29)*24,2),ROUND((D29-C29+1)*24,2)),"")</f>
        <v/>
      </c>
      <c r="F29" s="13" t="str">
        <f aca="false">IF(E29&lt;&gt;"",ROUND(E29*$I$2,0),"")</f>
        <v/>
      </c>
      <c r="G29" s="14"/>
      <c r="H29" s="15"/>
      <c r="I29" s="16"/>
      <c r="J29" s="14"/>
      <c r="K29" s="16"/>
      <c r="L29" s="15"/>
      <c r="M29" s="17"/>
      <c r="N29" s="18"/>
      <c r="O29" s="17"/>
    </row>
    <row r="30" customFormat="false" ht="18.75" hidden="false" customHeight="true" outlineLevel="0" collapsed="false">
      <c r="A30" s="9" t="s">
        <v>55</v>
      </c>
      <c r="B30" s="10" t="s">
        <v>33</v>
      </c>
      <c r="C30" s="11"/>
      <c r="D30" s="11"/>
      <c r="E30" s="12" t="str">
        <f aca="false">IF(AND(C30&lt;&gt;"",D30&lt;&gt;""),IF(D30&gt;=C30,ROUND((D30-C30)*24,2),ROUND((D30-C30+1)*24,2)),"")</f>
        <v/>
      </c>
      <c r="F30" s="13" t="str">
        <f aca="false">IF(E30&lt;&gt;"",ROUND(E30*$I$2,0),"")</f>
        <v/>
      </c>
      <c r="G30" s="14"/>
      <c r="H30" s="15"/>
      <c r="I30" s="16"/>
      <c r="J30" s="14"/>
      <c r="K30" s="16"/>
      <c r="L30" s="15"/>
      <c r="M30" s="17"/>
      <c r="N30" s="18"/>
      <c r="O30" s="17"/>
    </row>
    <row r="31" customFormat="false" ht="18.75" hidden="false" customHeight="true" outlineLevel="0" collapsed="false">
      <c r="A31" s="9" t="s">
        <v>56</v>
      </c>
      <c r="B31" s="10" t="s">
        <v>35</v>
      </c>
      <c r="C31" s="11"/>
      <c r="D31" s="11"/>
      <c r="E31" s="12" t="str">
        <f aca="false">IF(AND(C31&lt;&gt;"",D31&lt;&gt;""),IF(D31&gt;=C31,ROUND((D31-C31)*24,2),ROUND((D31-C31+1)*24,2)),"")</f>
        <v/>
      </c>
      <c r="F31" s="13" t="str">
        <f aca="false">IF(E31&lt;&gt;"",ROUND(E31*$I$2,0),"")</f>
        <v/>
      </c>
      <c r="G31" s="14"/>
      <c r="H31" s="15"/>
      <c r="I31" s="16"/>
      <c r="J31" s="14"/>
      <c r="K31" s="16"/>
      <c r="L31" s="15"/>
      <c r="M31" s="17"/>
      <c r="N31" s="18"/>
      <c r="O31" s="17"/>
    </row>
    <row r="32" customFormat="false" ht="18.75" hidden="false" customHeight="true" outlineLevel="0" collapsed="false">
      <c r="A32" s="9" t="s">
        <v>57</v>
      </c>
      <c r="B32" s="10" t="s">
        <v>23</v>
      </c>
      <c r="C32" s="11"/>
      <c r="D32" s="11"/>
      <c r="E32" s="12" t="str">
        <f aca="false">IF(AND(C32&lt;&gt;"",D32&lt;&gt;""),IF(D32&gt;=C32,ROUND((D32-C32)*24,2),ROUND((D32-C32+1)*24,2)),"")</f>
        <v/>
      </c>
      <c r="F32" s="13" t="str">
        <f aca="false">IF(E32&lt;&gt;"",ROUND(E32*$I$2,0),"")</f>
        <v/>
      </c>
      <c r="G32" s="14"/>
      <c r="H32" s="15"/>
      <c r="I32" s="16"/>
      <c r="J32" s="14"/>
      <c r="K32" s="16"/>
      <c r="L32" s="15"/>
      <c r="M32" s="17"/>
      <c r="N32" s="18"/>
      <c r="O32" s="17"/>
    </row>
    <row r="33" customFormat="false" ht="18.75" hidden="false" customHeight="true" outlineLevel="0" collapsed="false">
      <c r="A33" s="9" t="s">
        <v>58</v>
      </c>
      <c r="B33" s="10" t="s">
        <v>25</v>
      </c>
      <c r="C33" s="11"/>
      <c r="D33" s="11"/>
      <c r="E33" s="12" t="str">
        <f aca="false">IF(AND(C33&lt;&gt;"",D33&lt;&gt;""),IF(D33&gt;=C33,ROUND((D33-C33)*24,2),ROUND((D33-C33+1)*24,2)),"")</f>
        <v/>
      </c>
      <c r="F33" s="13" t="str">
        <f aca="false">IF(E33&lt;&gt;"",ROUND(E33*$I$2,0),"")</f>
        <v/>
      </c>
      <c r="G33" s="14"/>
      <c r="H33" s="15"/>
      <c r="I33" s="16"/>
      <c r="J33" s="14"/>
      <c r="K33" s="16"/>
      <c r="L33" s="15"/>
      <c r="M33" s="17"/>
      <c r="N33" s="18"/>
      <c r="O33" s="17"/>
    </row>
    <row r="34" customFormat="false" ht="18.75" hidden="false" customHeight="true" outlineLevel="0" collapsed="false">
      <c r="A34" s="19" t="s">
        <v>59</v>
      </c>
      <c r="B34" s="20" t="s">
        <v>27</v>
      </c>
      <c r="C34" s="21"/>
      <c r="D34" s="21"/>
      <c r="E34" s="22" t="str">
        <f aca="false">IF(AND(C34&lt;&gt;"",D34&lt;&gt;""),IF(D34&gt;=C34,ROUND((D34-C34)*24,2),ROUND((D34-C34+1)*24,2)),"")</f>
        <v/>
      </c>
      <c r="F34" s="23" t="str">
        <f aca="false">IF(E34&lt;&gt;"",ROUND(E34*$I$2,0),"")</f>
        <v/>
      </c>
      <c r="G34" s="24"/>
      <c r="H34" s="25"/>
      <c r="I34" s="23"/>
      <c r="J34" s="24"/>
      <c r="K34" s="23"/>
      <c r="L34" s="25"/>
      <c r="M34" s="23"/>
      <c r="N34" s="24"/>
      <c r="O34" s="23"/>
    </row>
    <row r="35" customFormat="false" ht="3.75" hidden="false" customHeight="true" outlineLevel="0" collapsed="false"/>
    <row r="36" customFormat="false" ht="25.5" hidden="false" customHeight="true" outlineLevel="0" collapsed="false">
      <c r="A36" s="33" t="s">
        <v>60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 customFormat="false" ht="22.5" hidden="false" customHeight="true" outlineLevel="0" collapsed="false">
      <c r="A37" s="34" t="s">
        <v>61</v>
      </c>
      <c r="B37" s="34"/>
      <c r="C37" s="34"/>
      <c r="D37" s="34"/>
      <c r="E37" s="34"/>
      <c r="F37" s="35" t="n">
        <f aca="false">COUNT(E4:E34)</f>
        <v>0</v>
      </c>
      <c r="G37" s="35"/>
      <c r="H37" s="35"/>
      <c r="I37" s="35"/>
      <c r="J37" s="35"/>
      <c r="K37" s="35"/>
      <c r="L37" s="35"/>
      <c r="M37" s="35"/>
      <c r="N37" s="35"/>
      <c r="O37" s="35"/>
    </row>
    <row r="38" customFormat="false" ht="22.5" hidden="false" customHeight="true" outlineLevel="0" collapsed="false">
      <c r="A38" s="36" t="s">
        <v>62</v>
      </c>
      <c r="B38" s="36"/>
      <c r="C38" s="36"/>
      <c r="D38" s="36"/>
      <c r="E38" s="36"/>
      <c r="F38" s="37" t="n">
        <f aca="false">SUM(E4:E34)</f>
        <v>0</v>
      </c>
      <c r="G38" s="37"/>
      <c r="H38" s="37"/>
      <c r="I38" s="37"/>
      <c r="J38" s="37"/>
      <c r="K38" s="37"/>
      <c r="L38" s="37"/>
      <c r="M38" s="37"/>
      <c r="N38" s="37"/>
      <c r="O38" s="37"/>
    </row>
    <row r="39" customFormat="false" ht="22.5" hidden="false" customHeight="true" outlineLevel="0" collapsed="false">
      <c r="A39" s="38" t="s">
        <v>63</v>
      </c>
      <c r="B39" s="38"/>
      <c r="C39" s="38"/>
      <c r="D39" s="38"/>
      <c r="E39" s="38"/>
      <c r="F39" s="39" t="n">
        <f aca="false">SUM(F4:F34)</f>
        <v>0</v>
      </c>
      <c r="G39" s="39"/>
      <c r="H39" s="39"/>
      <c r="I39" s="39"/>
      <c r="J39" s="39"/>
      <c r="K39" s="39"/>
      <c r="L39" s="39"/>
      <c r="M39" s="39"/>
      <c r="N39" s="39"/>
      <c r="O39" s="39"/>
    </row>
    <row r="40" customFormat="false" ht="22.5" hidden="false" customHeight="true" outlineLevel="0" collapsed="false">
      <c r="A40" s="36" t="s">
        <v>64</v>
      </c>
      <c r="B40" s="36"/>
      <c r="C40" s="36"/>
      <c r="D40" s="36"/>
      <c r="E40" s="36"/>
      <c r="F40" s="40" t="n">
        <f aca="false">IF(F39=0,0,IFERROR(VLOOKUP(F39,税額表!$A$2:$B$74,2,TRUE()),0))</f>
        <v>0</v>
      </c>
      <c r="G40" s="40"/>
      <c r="H40" s="40"/>
      <c r="I40" s="40"/>
      <c r="J40" s="40"/>
      <c r="K40" s="40"/>
      <c r="L40" s="40"/>
      <c r="M40" s="40"/>
      <c r="N40" s="40"/>
      <c r="O40" s="40"/>
    </row>
    <row r="41" customFormat="false" ht="22.5" hidden="false" customHeight="true" outlineLevel="0" collapsed="false">
      <c r="A41" s="38" t="s">
        <v>65</v>
      </c>
      <c r="B41" s="38"/>
      <c r="C41" s="38"/>
      <c r="D41" s="38"/>
      <c r="E41" s="38"/>
      <c r="F41" s="39" t="n">
        <f aca="false">F39-F40</f>
        <v>0</v>
      </c>
      <c r="G41" s="39"/>
      <c r="H41" s="39"/>
      <c r="I41" s="39"/>
      <c r="J41" s="39"/>
      <c r="K41" s="39"/>
      <c r="L41" s="39"/>
      <c r="M41" s="39"/>
      <c r="N41" s="39"/>
      <c r="O41" s="39"/>
    </row>
    <row r="42" customFormat="false" ht="22.5" hidden="false" customHeight="true" outlineLevel="0" collapsed="false">
      <c r="A42" s="36" t="s">
        <v>66</v>
      </c>
      <c r="B42" s="36"/>
      <c r="C42" s="36"/>
      <c r="D42" s="36"/>
      <c r="E42" s="36"/>
      <c r="F42" s="40" t="n">
        <f aca="false">SUM(I4:I34)</f>
        <v>0</v>
      </c>
      <c r="G42" s="40"/>
      <c r="H42" s="40"/>
      <c r="I42" s="40"/>
      <c r="J42" s="40"/>
      <c r="K42" s="40"/>
      <c r="L42" s="40"/>
      <c r="M42" s="40"/>
      <c r="N42" s="40"/>
      <c r="O42" s="40"/>
    </row>
    <row r="43" customFormat="false" ht="22.5" hidden="false" customHeight="true" outlineLevel="0" collapsed="false">
      <c r="A43" s="36" t="s">
        <v>67</v>
      </c>
      <c r="B43" s="36"/>
      <c r="C43" s="36"/>
      <c r="D43" s="36"/>
      <c r="E43" s="36"/>
      <c r="F43" s="40" t="n">
        <f aca="false">SUMIF(L4:L34,"現金",K4:K34)+SUMIF(L4:L34,"個人カード",K4:K34)</f>
        <v>0</v>
      </c>
      <c r="G43" s="40"/>
      <c r="H43" s="40"/>
      <c r="I43" s="40"/>
      <c r="J43" s="40"/>
      <c r="K43" s="40"/>
      <c r="L43" s="40"/>
      <c r="M43" s="40"/>
      <c r="N43" s="40"/>
      <c r="O43" s="40"/>
    </row>
    <row r="44" customFormat="false" ht="22.5" hidden="false" customHeight="true" outlineLevel="0" collapsed="false">
      <c r="A44" s="41" t="s">
        <v>68</v>
      </c>
      <c r="B44" s="41"/>
      <c r="C44" s="41"/>
      <c r="D44" s="41"/>
      <c r="E44" s="41"/>
      <c r="F44" s="42" t="n">
        <f aca="false">SUM(M4:M34)</f>
        <v>0</v>
      </c>
      <c r="G44" s="42"/>
      <c r="H44" s="42"/>
      <c r="I44" s="42"/>
      <c r="J44" s="42"/>
      <c r="K44" s="42"/>
      <c r="L44" s="42"/>
      <c r="M44" s="42"/>
      <c r="N44" s="42"/>
      <c r="O44" s="42"/>
    </row>
    <row r="45" customFormat="false" ht="22.5" hidden="false" customHeight="true" outlineLevel="0" collapsed="false">
      <c r="A45" s="41" t="s">
        <v>69</v>
      </c>
      <c r="B45" s="41"/>
      <c r="C45" s="41"/>
      <c r="D45" s="41"/>
      <c r="E45" s="41"/>
      <c r="F45" s="42" t="n">
        <f aca="false">SUM(O4:O34)</f>
        <v>0</v>
      </c>
      <c r="G45" s="42"/>
      <c r="H45" s="42"/>
      <c r="I45" s="42"/>
      <c r="J45" s="42"/>
      <c r="K45" s="42"/>
      <c r="L45" s="42"/>
      <c r="M45" s="42"/>
      <c r="N45" s="42"/>
      <c r="O45" s="42"/>
    </row>
    <row r="46" customFormat="false" ht="22.5" hidden="false" customHeight="true" outlineLevel="0" collapsed="false">
      <c r="A46" s="43" t="s">
        <v>70</v>
      </c>
      <c r="B46" s="43"/>
      <c r="C46" s="43"/>
      <c r="D46" s="43"/>
      <c r="E46" s="43"/>
      <c r="F46" s="44" t="n">
        <v>0</v>
      </c>
      <c r="G46" s="44"/>
      <c r="H46" s="44"/>
      <c r="I46" s="44"/>
      <c r="J46" s="44"/>
      <c r="K46" s="44"/>
      <c r="L46" s="44"/>
      <c r="M46" s="44"/>
      <c r="N46" s="44"/>
      <c r="O46" s="44"/>
    </row>
    <row r="47" customFormat="false" ht="22.5" hidden="false" customHeight="true" outlineLevel="0" collapsed="false">
      <c r="A47" s="45" t="s">
        <v>71</v>
      </c>
      <c r="B47" s="45"/>
      <c r="C47" s="45"/>
      <c r="D47" s="45"/>
      <c r="E47" s="45"/>
      <c r="F47" s="46" t="n">
        <f aca="false">F41+F42+F43+F44+F45+F46</f>
        <v>0</v>
      </c>
      <c r="G47" s="46"/>
      <c r="H47" s="46"/>
      <c r="I47" s="46"/>
      <c r="J47" s="46"/>
      <c r="K47" s="46"/>
      <c r="L47" s="46"/>
      <c r="M47" s="46"/>
      <c r="N47" s="46"/>
      <c r="O47" s="46"/>
    </row>
    <row r="49" customFormat="false" ht="13.5" hidden="false" customHeight="true" outlineLevel="0" collapsed="false">
      <c r="A49" s="47" t="s">
        <v>72</v>
      </c>
      <c r="B49" s="47"/>
      <c r="C49" s="48" t="s">
        <v>73</v>
      </c>
      <c r="D49" s="48"/>
      <c r="E49" s="49" t="s">
        <v>74</v>
      </c>
      <c r="F49" s="49"/>
      <c r="G49" s="50" t="s">
        <v>75</v>
      </c>
      <c r="H49" s="50"/>
      <c r="I49" s="51" t="s">
        <v>76</v>
      </c>
      <c r="J49" s="51"/>
      <c r="K49" s="52" t="s">
        <v>77</v>
      </c>
      <c r="L49" s="52"/>
    </row>
    <row r="50" customFormat="false" ht="30" hidden="false" customHeight="true" outlineLevel="0" collapsed="false">
      <c r="A50" s="53" t="s">
        <v>78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</row>
  </sheetData>
  <mergeCells count="36">
    <mergeCell ref="A1:O1"/>
    <mergeCell ref="A2:B2"/>
    <mergeCell ref="C2:F2"/>
    <mergeCell ref="G2:H2"/>
    <mergeCell ref="I2:K2"/>
    <mergeCell ref="L2:O2"/>
    <mergeCell ref="A36:O36"/>
    <mergeCell ref="A37:E37"/>
    <mergeCell ref="F37:O37"/>
    <mergeCell ref="A38:E38"/>
    <mergeCell ref="F38:O38"/>
    <mergeCell ref="A39:E39"/>
    <mergeCell ref="F39:O39"/>
    <mergeCell ref="A40:E40"/>
    <mergeCell ref="F40:O40"/>
    <mergeCell ref="A41:E41"/>
    <mergeCell ref="F41:O41"/>
    <mergeCell ref="A42:E42"/>
    <mergeCell ref="F42:O42"/>
    <mergeCell ref="A43:E43"/>
    <mergeCell ref="F43:O43"/>
    <mergeCell ref="A44:E44"/>
    <mergeCell ref="F44:O44"/>
    <mergeCell ref="A45:E45"/>
    <mergeCell ref="F45:O45"/>
    <mergeCell ref="A46:E46"/>
    <mergeCell ref="F46:O46"/>
    <mergeCell ref="A47:E47"/>
    <mergeCell ref="F47:O47"/>
    <mergeCell ref="A49:B49"/>
    <mergeCell ref="C49:D49"/>
    <mergeCell ref="E49:F49"/>
    <mergeCell ref="G49:H49"/>
    <mergeCell ref="I49:J49"/>
    <mergeCell ref="K49:L49"/>
    <mergeCell ref="A50:O50"/>
  </mergeCells>
  <dataValidations count="1">
    <dataValidation allowBlank="true" error="「現金」「個人カード」「法人カード」から選択してください。" errorStyle="stop" errorTitle="入力エラー" operator="between" showDropDown="false" showErrorMessage="true" showInputMessage="false" sqref="L4:L34" type="list">
      <formula1>"現金,個人カード,法人カード"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3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6.82"/>
    <col collapsed="false" customWidth="true" hidden="false" outlineLevel="0" max="2" min="2" style="0" width="3.81"/>
    <col collapsed="false" customWidth="true" hidden="false" outlineLevel="0" max="4" min="3" style="0" width="11.04"/>
    <col collapsed="false" customWidth="true" hidden="false" outlineLevel="0" max="5" min="5" style="0" width="8.99"/>
    <col collapsed="false" customWidth="true" hidden="false" outlineLevel="0" max="6" min="6" style="0" width="11.04"/>
    <col collapsed="false" customWidth="true" hidden="false" outlineLevel="0" max="7" min="7" style="0" width="14.04"/>
    <col collapsed="false" customWidth="true" hidden="false" outlineLevel="0" max="9" min="8" style="0" width="11.04"/>
    <col collapsed="false" customWidth="true" hidden="false" outlineLevel="0" max="10" min="10" style="0" width="17.99"/>
    <col collapsed="false" customWidth="true" hidden="false" outlineLevel="0" max="11" min="11" style="0" width="12.81"/>
    <col collapsed="false" customWidth="true" hidden="false" outlineLevel="0" max="12" min="12" style="0" width="11.99"/>
    <col collapsed="false" customWidth="true" hidden="false" outlineLevel="0" max="13" min="13" style="0" width="9.82"/>
    <col collapsed="false" customWidth="true" hidden="false" outlineLevel="0" max="14" min="14" style="0" width="15.81"/>
    <col collapsed="false" customWidth="true" hidden="false" outlineLevel="0" max="15" min="15" style="0" width="12.81"/>
  </cols>
  <sheetData>
    <row r="1" customFormat="false" ht="36" hidden="false" customHeight="true" outlineLevel="0" collapsed="false">
      <c r="A1" s="2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4" hidden="false" customHeight="true" outlineLevel="0" collapsed="false">
      <c r="A2" s="3" t="s">
        <v>3</v>
      </c>
      <c r="B2" s="3"/>
      <c r="C2" s="4" t="s">
        <v>4</v>
      </c>
      <c r="D2" s="4"/>
      <c r="E2" s="4"/>
      <c r="F2" s="4"/>
      <c r="G2" s="3" t="s">
        <v>5</v>
      </c>
      <c r="H2" s="3"/>
      <c r="I2" s="5" t="n">
        <v>1300</v>
      </c>
      <c r="J2" s="5"/>
      <c r="K2" s="5"/>
      <c r="L2" s="6" t="s">
        <v>6</v>
      </c>
      <c r="M2" s="6"/>
      <c r="N2" s="6"/>
      <c r="O2" s="6"/>
    </row>
    <row r="3" customFormat="false" ht="42" hidden="false" customHeight="true" outlineLevel="0" collapsed="false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8" t="s">
        <v>19</v>
      </c>
      <c r="N3" s="8" t="s">
        <v>20</v>
      </c>
      <c r="O3" s="8" t="s">
        <v>21</v>
      </c>
    </row>
    <row r="4" customFormat="false" ht="18.75" hidden="false" customHeight="true" outlineLevel="0" collapsed="false">
      <c r="A4" s="26" t="s">
        <v>80</v>
      </c>
      <c r="B4" s="27" t="s">
        <v>29</v>
      </c>
      <c r="C4" s="28"/>
      <c r="D4" s="28"/>
      <c r="E4" s="29" t="str">
        <f aca="false">IF(AND(C4&lt;&gt;"",D4&lt;&gt;""),IF(D4&gt;=C4,ROUND((D4-C4)*24,2),ROUND((D4-C4+1)*24,2)),"")</f>
        <v/>
      </c>
      <c r="F4" s="30" t="str">
        <f aca="false">IF(E4&lt;&gt;"",ROUND(E4*$I$2,0),"")</f>
        <v/>
      </c>
      <c r="G4" s="31"/>
      <c r="H4" s="32"/>
      <c r="I4" s="30"/>
      <c r="J4" s="31"/>
      <c r="K4" s="30"/>
      <c r="L4" s="32"/>
      <c r="M4" s="30"/>
      <c r="N4" s="31"/>
      <c r="O4" s="30"/>
    </row>
    <row r="5" customFormat="false" ht="18.75" hidden="false" customHeight="true" outlineLevel="0" collapsed="false">
      <c r="A5" s="9" t="s">
        <v>81</v>
      </c>
      <c r="B5" s="10" t="s">
        <v>31</v>
      </c>
      <c r="C5" s="11"/>
      <c r="D5" s="11"/>
      <c r="E5" s="12" t="str">
        <f aca="false">IF(AND(C5&lt;&gt;"",D5&lt;&gt;""),IF(D5&gt;=C5,ROUND((D5-C5)*24,2),ROUND((D5-C5+1)*24,2)),"")</f>
        <v/>
      </c>
      <c r="F5" s="13" t="str">
        <f aca="false">IF(E5&lt;&gt;"",ROUND(E5*$I$2,0),"")</f>
        <v/>
      </c>
      <c r="G5" s="14"/>
      <c r="H5" s="15"/>
      <c r="I5" s="16"/>
      <c r="J5" s="14"/>
      <c r="K5" s="16"/>
      <c r="L5" s="15"/>
      <c r="M5" s="17"/>
      <c r="N5" s="18"/>
      <c r="O5" s="17"/>
    </row>
    <row r="6" customFormat="false" ht="18.75" hidden="false" customHeight="true" outlineLevel="0" collapsed="false">
      <c r="A6" s="9" t="s">
        <v>82</v>
      </c>
      <c r="B6" s="10" t="s">
        <v>33</v>
      </c>
      <c r="C6" s="11"/>
      <c r="D6" s="11"/>
      <c r="E6" s="12" t="str">
        <f aca="false">IF(AND(C6&lt;&gt;"",D6&lt;&gt;""),IF(D6&gt;=C6,ROUND((D6-C6)*24,2),ROUND((D6-C6+1)*24,2)),"")</f>
        <v/>
      </c>
      <c r="F6" s="13" t="str">
        <f aca="false">IF(E6&lt;&gt;"",ROUND(E6*$I$2,0),"")</f>
        <v/>
      </c>
      <c r="G6" s="14"/>
      <c r="H6" s="15"/>
      <c r="I6" s="16"/>
      <c r="J6" s="14"/>
      <c r="K6" s="16"/>
      <c r="L6" s="15"/>
      <c r="M6" s="17"/>
      <c r="N6" s="18"/>
      <c r="O6" s="17"/>
    </row>
    <row r="7" customFormat="false" ht="18.75" hidden="false" customHeight="true" outlineLevel="0" collapsed="false">
      <c r="A7" s="9" t="s">
        <v>83</v>
      </c>
      <c r="B7" s="10" t="s">
        <v>35</v>
      </c>
      <c r="C7" s="11"/>
      <c r="D7" s="11"/>
      <c r="E7" s="12" t="str">
        <f aca="false">IF(AND(C7&lt;&gt;"",D7&lt;&gt;""),IF(D7&gt;=C7,ROUND((D7-C7)*24,2),ROUND((D7-C7+1)*24,2)),"")</f>
        <v/>
      </c>
      <c r="F7" s="13" t="str">
        <f aca="false">IF(E7&lt;&gt;"",ROUND(E7*$I$2,0),"")</f>
        <v/>
      </c>
      <c r="G7" s="14"/>
      <c r="H7" s="15"/>
      <c r="I7" s="16"/>
      <c r="J7" s="14"/>
      <c r="K7" s="16"/>
      <c r="L7" s="15"/>
      <c r="M7" s="17"/>
      <c r="N7" s="18"/>
      <c r="O7" s="17"/>
    </row>
    <row r="8" customFormat="false" ht="18.75" hidden="false" customHeight="true" outlineLevel="0" collapsed="false">
      <c r="A8" s="9" t="s">
        <v>84</v>
      </c>
      <c r="B8" s="10" t="s">
        <v>23</v>
      </c>
      <c r="C8" s="11"/>
      <c r="D8" s="11"/>
      <c r="E8" s="12" t="str">
        <f aca="false">IF(AND(C8&lt;&gt;"",D8&lt;&gt;""),IF(D8&gt;=C8,ROUND((D8-C8)*24,2),ROUND((D8-C8+1)*24,2)),"")</f>
        <v/>
      </c>
      <c r="F8" s="13" t="str">
        <f aca="false">IF(E8&lt;&gt;"",ROUND(E8*$I$2,0),"")</f>
        <v/>
      </c>
      <c r="G8" s="14"/>
      <c r="H8" s="15"/>
      <c r="I8" s="16"/>
      <c r="J8" s="14"/>
      <c r="K8" s="16"/>
      <c r="L8" s="15"/>
      <c r="M8" s="17"/>
      <c r="N8" s="18"/>
      <c r="O8" s="17"/>
    </row>
    <row r="9" customFormat="false" ht="18.75" hidden="false" customHeight="true" outlineLevel="0" collapsed="false">
      <c r="A9" s="9" t="s">
        <v>85</v>
      </c>
      <c r="B9" s="10" t="s">
        <v>25</v>
      </c>
      <c r="C9" s="11"/>
      <c r="D9" s="11"/>
      <c r="E9" s="12" t="str">
        <f aca="false">IF(AND(C9&lt;&gt;"",D9&lt;&gt;""),IF(D9&gt;=C9,ROUND((D9-C9)*24,2),ROUND((D9-C9+1)*24,2)),"")</f>
        <v/>
      </c>
      <c r="F9" s="13" t="str">
        <f aca="false">IF(E9&lt;&gt;"",ROUND(E9*$I$2,0),"")</f>
        <v/>
      </c>
      <c r="G9" s="14"/>
      <c r="H9" s="15"/>
      <c r="I9" s="16"/>
      <c r="J9" s="14"/>
      <c r="K9" s="16"/>
      <c r="L9" s="15"/>
      <c r="M9" s="17"/>
      <c r="N9" s="18"/>
      <c r="O9" s="17"/>
    </row>
    <row r="10" customFormat="false" ht="18.75" hidden="false" customHeight="true" outlineLevel="0" collapsed="false">
      <c r="A10" s="19" t="s">
        <v>86</v>
      </c>
      <c r="B10" s="20" t="s">
        <v>27</v>
      </c>
      <c r="C10" s="21"/>
      <c r="D10" s="21"/>
      <c r="E10" s="22" t="str">
        <f aca="false">IF(AND(C10&lt;&gt;"",D10&lt;&gt;""),IF(D10&gt;=C10,ROUND((D10-C10)*24,2),ROUND((D10-C10+1)*24,2)),"")</f>
        <v/>
      </c>
      <c r="F10" s="23" t="str">
        <f aca="false">IF(E10&lt;&gt;"",ROUND(E10*$I$2,0),"")</f>
        <v/>
      </c>
      <c r="G10" s="24"/>
      <c r="H10" s="25"/>
      <c r="I10" s="23"/>
      <c r="J10" s="24"/>
      <c r="K10" s="23"/>
      <c r="L10" s="25"/>
      <c r="M10" s="23"/>
      <c r="N10" s="24"/>
      <c r="O10" s="23"/>
    </row>
    <row r="11" customFormat="false" ht="18.75" hidden="false" customHeight="true" outlineLevel="0" collapsed="false">
      <c r="A11" s="26" t="s">
        <v>87</v>
      </c>
      <c r="B11" s="27" t="s">
        <v>29</v>
      </c>
      <c r="C11" s="28"/>
      <c r="D11" s="28"/>
      <c r="E11" s="29" t="str">
        <f aca="false">IF(AND(C11&lt;&gt;"",D11&lt;&gt;""),IF(D11&gt;=C11,ROUND((D11-C11)*24,2),ROUND((D11-C11+1)*24,2)),"")</f>
        <v/>
      </c>
      <c r="F11" s="30" t="str">
        <f aca="false">IF(E11&lt;&gt;"",ROUND(E11*$I$2,0),"")</f>
        <v/>
      </c>
      <c r="G11" s="31"/>
      <c r="H11" s="32"/>
      <c r="I11" s="30"/>
      <c r="J11" s="31"/>
      <c r="K11" s="30"/>
      <c r="L11" s="32"/>
      <c r="M11" s="30"/>
      <c r="N11" s="31"/>
      <c r="O11" s="30"/>
    </row>
    <row r="12" customFormat="false" ht="18.75" hidden="false" customHeight="true" outlineLevel="0" collapsed="false">
      <c r="A12" s="9" t="s">
        <v>88</v>
      </c>
      <c r="B12" s="10" t="s">
        <v>31</v>
      </c>
      <c r="C12" s="11"/>
      <c r="D12" s="11"/>
      <c r="E12" s="12" t="str">
        <f aca="false">IF(AND(C12&lt;&gt;"",D12&lt;&gt;""),IF(D12&gt;=C12,ROUND((D12-C12)*24,2),ROUND((D12-C12+1)*24,2)),"")</f>
        <v/>
      </c>
      <c r="F12" s="13" t="str">
        <f aca="false">IF(E12&lt;&gt;"",ROUND(E12*$I$2,0),"")</f>
        <v/>
      </c>
      <c r="G12" s="14"/>
      <c r="H12" s="15"/>
      <c r="I12" s="16"/>
      <c r="J12" s="14"/>
      <c r="K12" s="16"/>
      <c r="L12" s="15"/>
      <c r="M12" s="17"/>
      <c r="N12" s="18"/>
      <c r="O12" s="17"/>
    </row>
    <row r="13" customFormat="false" ht="18.75" hidden="false" customHeight="true" outlineLevel="0" collapsed="false">
      <c r="A13" s="9" t="s">
        <v>89</v>
      </c>
      <c r="B13" s="10" t="s">
        <v>33</v>
      </c>
      <c r="C13" s="11"/>
      <c r="D13" s="11"/>
      <c r="E13" s="12" t="str">
        <f aca="false">IF(AND(C13&lt;&gt;"",D13&lt;&gt;""),IF(D13&gt;=C13,ROUND((D13-C13)*24,2),ROUND((D13-C13+1)*24,2)),"")</f>
        <v/>
      </c>
      <c r="F13" s="13" t="str">
        <f aca="false">IF(E13&lt;&gt;"",ROUND(E13*$I$2,0),"")</f>
        <v/>
      </c>
      <c r="G13" s="14"/>
      <c r="H13" s="15"/>
      <c r="I13" s="16"/>
      <c r="J13" s="14"/>
      <c r="K13" s="16"/>
      <c r="L13" s="15"/>
      <c r="M13" s="17"/>
      <c r="N13" s="18"/>
      <c r="O13" s="17"/>
    </row>
    <row r="14" customFormat="false" ht="18.75" hidden="false" customHeight="true" outlineLevel="0" collapsed="false">
      <c r="A14" s="9" t="s">
        <v>90</v>
      </c>
      <c r="B14" s="10" t="s">
        <v>35</v>
      </c>
      <c r="C14" s="11"/>
      <c r="D14" s="11"/>
      <c r="E14" s="12" t="str">
        <f aca="false">IF(AND(C14&lt;&gt;"",D14&lt;&gt;""),IF(D14&gt;=C14,ROUND((D14-C14)*24,2),ROUND((D14-C14+1)*24,2)),"")</f>
        <v/>
      </c>
      <c r="F14" s="13" t="str">
        <f aca="false">IF(E14&lt;&gt;"",ROUND(E14*$I$2,0),"")</f>
        <v/>
      </c>
      <c r="G14" s="14"/>
      <c r="H14" s="15"/>
      <c r="I14" s="16"/>
      <c r="J14" s="14"/>
      <c r="K14" s="16"/>
      <c r="L14" s="15"/>
      <c r="M14" s="17"/>
      <c r="N14" s="18"/>
      <c r="O14" s="17"/>
    </row>
    <row r="15" customFormat="false" ht="18.75" hidden="false" customHeight="true" outlineLevel="0" collapsed="false">
      <c r="A15" s="9" t="s">
        <v>91</v>
      </c>
      <c r="B15" s="10" t="s">
        <v>23</v>
      </c>
      <c r="C15" s="11"/>
      <c r="D15" s="11"/>
      <c r="E15" s="12" t="str">
        <f aca="false">IF(AND(C15&lt;&gt;"",D15&lt;&gt;""),IF(D15&gt;=C15,ROUND((D15-C15)*24,2),ROUND((D15-C15+1)*24,2)),"")</f>
        <v/>
      </c>
      <c r="F15" s="13" t="str">
        <f aca="false">IF(E15&lt;&gt;"",ROUND(E15*$I$2,0),"")</f>
        <v/>
      </c>
      <c r="G15" s="14"/>
      <c r="H15" s="15"/>
      <c r="I15" s="16"/>
      <c r="J15" s="14"/>
      <c r="K15" s="16"/>
      <c r="L15" s="15"/>
      <c r="M15" s="17"/>
      <c r="N15" s="18"/>
      <c r="O15" s="17"/>
    </row>
    <row r="16" customFormat="false" ht="18.75" hidden="false" customHeight="true" outlineLevel="0" collapsed="false">
      <c r="A16" s="9" t="s">
        <v>92</v>
      </c>
      <c r="B16" s="10" t="s">
        <v>25</v>
      </c>
      <c r="C16" s="11"/>
      <c r="D16" s="11"/>
      <c r="E16" s="12" t="str">
        <f aca="false">IF(AND(C16&lt;&gt;"",D16&lt;&gt;""),IF(D16&gt;=C16,ROUND((D16-C16)*24,2),ROUND((D16-C16+1)*24,2)),"")</f>
        <v/>
      </c>
      <c r="F16" s="13" t="str">
        <f aca="false">IF(E16&lt;&gt;"",ROUND(E16*$I$2,0),"")</f>
        <v/>
      </c>
      <c r="G16" s="14"/>
      <c r="H16" s="15"/>
      <c r="I16" s="16"/>
      <c r="J16" s="14"/>
      <c r="K16" s="16"/>
      <c r="L16" s="15"/>
      <c r="M16" s="17"/>
      <c r="N16" s="18"/>
      <c r="O16" s="17"/>
    </row>
    <row r="17" customFormat="false" ht="18.75" hidden="false" customHeight="true" outlineLevel="0" collapsed="false">
      <c r="A17" s="19" t="s">
        <v>93</v>
      </c>
      <c r="B17" s="20" t="s">
        <v>27</v>
      </c>
      <c r="C17" s="21"/>
      <c r="D17" s="21"/>
      <c r="E17" s="22" t="str">
        <f aca="false">IF(AND(C17&lt;&gt;"",D17&lt;&gt;""),IF(D17&gt;=C17,ROUND((D17-C17)*24,2),ROUND((D17-C17+1)*24,2)),"")</f>
        <v/>
      </c>
      <c r="F17" s="23" t="str">
        <f aca="false">IF(E17&lt;&gt;"",ROUND(E17*$I$2,0),"")</f>
        <v/>
      </c>
      <c r="G17" s="24"/>
      <c r="H17" s="25"/>
      <c r="I17" s="23"/>
      <c r="J17" s="24"/>
      <c r="K17" s="23"/>
      <c r="L17" s="25"/>
      <c r="M17" s="23"/>
      <c r="N17" s="24"/>
      <c r="O17" s="23"/>
    </row>
    <row r="18" customFormat="false" ht="18.75" hidden="false" customHeight="true" outlineLevel="0" collapsed="false">
      <c r="A18" s="26" t="s">
        <v>94</v>
      </c>
      <c r="B18" s="27" t="s">
        <v>29</v>
      </c>
      <c r="C18" s="28"/>
      <c r="D18" s="28"/>
      <c r="E18" s="29" t="str">
        <f aca="false">IF(AND(C18&lt;&gt;"",D18&lt;&gt;""),IF(D18&gt;=C18,ROUND((D18-C18)*24,2),ROUND((D18-C18+1)*24,2)),"")</f>
        <v/>
      </c>
      <c r="F18" s="30" t="str">
        <f aca="false">IF(E18&lt;&gt;"",ROUND(E18*$I$2,0),"")</f>
        <v/>
      </c>
      <c r="G18" s="31"/>
      <c r="H18" s="32"/>
      <c r="I18" s="30"/>
      <c r="J18" s="31"/>
      <c r="K18" s="30"/>
      <c r="L18" s="32"/>
      <c r="M18" s="30"/>
      <c r="N18" s="31"/>
      <c r="O18" s="30"/>
    </row>
    <row r="19" customFormat="false" ht="18.75" hidden="false" customHeight="true" outlineLevel="0" collapsed="false">
      <c r="A19" s="9" t="s">
        <v>95</v>
      </c>
      <c r="B19" s="10" t="s">
        <v>31</v>
      </c>
      <c r="C19" s="11"/>
      <c r="D19" s="11"/>
      <c r="E19" s="12" t="str">
        <f aca="false">IF(AND(C19&lt;&gt;"",D19&lt;&gt;""),IF(D19&gt;=C19,ROUND((D19-C19)*24,2),ROUND((D19-C19+1)*24,2)),"")</f>
        <v/>
      </c>
      <c r="F19" s="13" t="str">
        <f aca="false">IF(E19&lt;&gt;"",ROUND(E19*$I$2,0),"")</f>
        <v/>
      </c>
      <c r="G19" s="14"/>
      <c r="H19" s="15"/>
      <c r="I19" s="16"/>
      <c r="J19" s="14"/>
      <c r="K19" s="16"/>
      <c r="L19" s="15"/>
      <c r="M19" s="17"/>
      <c r="N19" s="18"/>
      <c r="O19" s="17"/>
    </row>
    <row r="20" customFormat="false" ht="18.75" hidden="false" customHeight="true" outlineLevel="0" collapsed="false">
      <c r="A20" s="9" t="s">
        <v>96</v>
      </c>
      <c r="B20" s="10" t="s">
        <v>33</v>
      </c>
      <c r="C20" s="11"/>
      <c r="D20" s="11"/>
      <c r="E20" s="12" t="str">
        <f aca="false">IF(AND(C20&lt;&gt;"",D20&lt;&gt;""),IF(D20&gt;=C20,ROUND((D20-C20)*24,2),ROUND((D20-C20+1)*24,2)),"")</f>
        <v/>
      </c>
      <c r="F20" s="13" t="str">
        <f aca="false">IF(E20&lt;&gt;"",ROUND(E20*$I$2,0),"")</f>
        <v/>
      </c>
      <c r="G20" s="14"/>
      <c r="H20" s="15"/>
      <c r="I20" s="16"/>
      <c r="J20" s="14"/>
      <c r="K20" s="16"/>
      <c r="L20" s="15"/>
      <c r="M20" s="17"/>
      <c r="N20" s="18"/>
      <c r="O20" s="17"/>
    </row>
    <row r="21" customFormat="false" ht="18.75" hidden="false" customHeight="true" outlineLevel="0" collapsed="false">
      <c r="A21" s="9" t="s">
        <v>97</v>
      </c>
      <c r="B21" s="10" t="s">
        <v>35</v>
      </c>
      <c r="C21" s="11"/>
      <c r="D21" s="11"/>
      <c r="E21" s="12" t="str">
        <f aca="false">IF(AND(C21&lt;&gt;"",D21&lt;&gt;""),IF(D21&gt;=C21,ROUND((D21-C21)*24,2),ROUND((D21-C21+1)*24,2)),"")</f>
        <v/>
      </c>
      <c r="F21" s="13" t="str">
        <f aca="false">IF(E21&lt;&gt;"",ROUND(E21*$I$2,0),"")</f>
        <v/>
      </c>
      <c r="G21" s="14"/>
      <c r="H21" s="15"/>
      <c r="I21" s="16"/>
      <c r="J21" s="14"/>
      <c r="K21" s="16"/>
      <c r="L21" s="15"/>
      <c r="M21" s="17"/>
      <c r="N21" s="18"/>
      <c r="O21" s="17"/>
    </row>
    <row r="22" customFormat="false" ht="18.75" hidden="false" customHeight="true" outlineLevel="0" collapsed="false">
      <c r="A22" s="9" t="s">
        <v>98</v>
      </c>
      <c r="B22" s="10" t="s">
        <v>23</v>
      </c>
      <c r="C22" s="11"/>
      <c r="D22" s="11"/>
      <c r="E22" s="12" t="str">
        <f aca="false">IF(AND(C22&lt;&gt;"",D22&lt;&gt;""),IF(D22&gt;=C22,ROUND((D22-C22)*24,2),ROUND((D22-C22+1)*24,2)),"")</f>
        <v/>
      </c>
      <c r="F22" s="13" t="str">
        <f aca="false">IF(E22&lt;&gt;"",ROUND(E22*$I$2,0),"")</f>
        <v/>
      </c>
      <c r="G22" s="14"/>
      <c r="H22" s="15"/>
      <c r="I22" s="16"/>
      <c r="J22" s="14"/>
      <c r="K22" s="16"/>
      <c r="L22" s="15"/>
      <c r="M22" s="17"/>
      <c r="N22" s="18"/>
      <c r="O22" s="17"/>
    </row>
    <row r="23" customFormat="false" ht="18.75" hidden="false" customHeight="true" outlineLevel="0" collapsed="false">
      <c r="A23" s="9" t="s">
        <v>99</v>
      </c>
      <c r="B23" s="10" t="s">
        <v>25</v>
      </c>
      <c r="C23" s="11"/>
      <c r="D23" s="11"/>
      <c r="E23" s="12" t="str">
        <f aca="false">IF(AND(C23&lt;&gt;"",D23&lt;&gt;""),IF(D23&gt;=C23,ROUND((D23-C23)*24,2),ROUND((D23-C23+1)*24,2)),"")</f>
        <v/>
      </c>
      <c r="F23" s="13" t="str">
        <f aca="false">IF(E23&lt;&gt;"",ROUND(E23*$I$2,0),"")</f>
        <v/>
      </c>
      <c r="G23" s="14"/>
      <c r="H23" s="15"/>
      <c r="I23" s="16"/>
      <c r="J23" s="14"/>
      <c r="K23" s="16"/>
      <c r="L23" s="15"/>
      <c r="M23" s="17"/>
      <c r="N23" s="18"/>
      <c r="O23" s="17"/>
    </row>
    <row r="24" customFormat="false" ht="18.75" hidden="false" customHeight="true" outlineLevel="0" collapsed="false">
      <c r="A24" s="19" t="s">
        <v>100</v>
      </c>
      <c r="B24" s="20" t="s">
        <v>27</v>
      </c>
      <c r="C24" s="21"/>
      <c r="D24" s="21"/>
      <c r="E24" s="22" t="str">
        <f aca="false">IF(AND(C24&lt;&gt;"",D24&lt;&gt;""),IF(D24&gt;=C24,ROUND((D24-C24)*24,2),ROUND((D24-C24+1)*24,2)),"")</f>
        <v/>
      </c>
      <c r="F24" s="23" t="str">
        <f aca="false">IF(E24&lt;&gt;"",ROUND(E24*$I$2,0),"")</f>
        <v/>
      </c>
      <c r="G24" s="24"/>
      <c r="H24" s="25"/>
      <c r="I24" s="23"/>
      <c r="J24" s="24"/>
      <c r="K24" s="23"/>
      <c r="L24" s="25"/>
      <c r="M24" s="23"/>
      <c r="N24" s="24"/>
      <c r="O24" s="23"/>
    </row>
    <row r="25" customFormat="false" ht="18.75" hidden="false" customHeight="true" outlineLevel="0" collapsed="false">
      <c r="A25" s="26" t="s">
        <v>101</v>
      </c>
      <c r="B25" s="27" t="s">
        <v>29</v>
      </c>
      <c r="C25" s="28"/>
      <c r="D25" s="28"/>
      <c r="E25" s="29" t="str">
        <f aca="false">IF(AND(C25&lt;&gt;"",D25&lt;&gt;""),IF(D25&gt;=C25,ROUND((D25-C25)*24,2),ROUND((D25-C25+1)*24,2)),"")</f>
        <v/>
      </c>
      <c r="F25" s="30" t="str">
        <f aca="false">IF(E25&lt;&gt;"",ROUND(E25*$I$2,0),"")</f>
        <v/>
      </c>
      <c r="G25" s="31"/>
      <c r="H25" s="32"/>
      <c r="I25" s="30"/>
      <c r="J25" s="31"/>
      <c r="K25" s="30"/>
      <c r="L25" s="32"/>
      <c r="M25" s="30"/>
      <c r="N25" s="31"/>
      <c r="O25" s="30"/>
    </row>
    <row r="26" customFormat="false" ht="18.75" hidden="false" customHeight="true" outlineLevel="0" collapsed="false">
      <c r="A26" s="9" t="s">
        <v>102</v>
      </c>
      <c r="B26" s="10" t="s">
        <v>31</v>
      </c>
      <c r="C26" s="11"/>
      <c r="D26" s="11"/>
      <c r="E26" s="12" t="str">
        <f aca="false">IF(AND(C26&lt;&gt;"",D26&lt;&gt;""),IF(D26&gt;=C26,ROUND((D26-C26)*24,2),ROUND((D26-C26+1)*24,2)),"")</f>
        <v/>
      </c>
      <c r="F26" s="13" t="str">
        <f aca="false">IF(E26&lt;&gt;"",ROUND(E26*$I$2,0),"")</f>
        <v/>
      </c>
      <c r="G26" s="14"/>
      <c r="H26" s="15"/>
      <c r="I26" s="16"/>
      <c r="J26" s="14"/>
      <c r="K26" s="16"/>
      <c r="L26" s="15"/>
      <c r="M26" s="17"/>
      <c r="N26" s="18"/>
      <c r="O26" s="17"/>
    </row>
    <row r="27" customFormat="false" ht="18.75" hidden="false" customHeight="true" outlineLevel="0" collapsed="false">
      <c r="A27" s="9" t="s">
        <v>103</v>
      </c>
      <c r="B27" s="10" t="s">
        <v>33</v>
      </c>
      <c r="C27" s="11"/>
      <c r="D27" s="11"/>
      <c r="E27" s="12" t="str">
        <f aca="false">IF(AND(C27&lt;&gt;"",D27&lt;&gt;""),IF(D27&gt;=C27,ROUND((D27-C27)*24,2),ROUND((D27-C27+1)*24,2)),"")</f>
        <v/>
      </c>
      <c r="F27" s="13" t="str">
        <f aca="false">IF(E27&lt;&gt;"",ROUND(E27*$I$2,0),"")</f>
        <v/>
      </c>
      <c r="G27" s="14"/>
      <c r="H27" s="15"/>
      <c r="I27" s="16"/>
      <c r="J27" s="14"/>
      <c r="K27" s="16"/>
      <c r="L27" s="15"/>
      <c r="M27" s="17"/>
      <c r="N27" s="18"/>
      <c r="O27" s="17"/>
    </row>
    <row r="28" customFormat="false" ht="18.75" hidden="false" customHeight="true" outlineLevel="0" collapsed="false">
      <c r="A28" s="9" t="s">
        <v>104</v>
      </c>
      <c r="B28" s="10" t="s">
        <v>35</v>
      </c>
      <c r="C28" s="11"/>
      <c r="D28" s="11"/>
      <c r="E28" s="12" t="str">
        <f aca="false">IF(AND(C28&lt;&gt;"",D28&lt;&gt;""),IF(D28&gt;=C28,ROUND((D28-C28)*24,2),ROUND((D28-C28+1)*24,2)),"")</f>
        <v/>
      </c>
      <c r="F28" s="13" t="str">
        <f aca="false">IF(E28&lt;&gt;"",ROUND(E28*$I$2,0),"")</f>
        <v/>
      </c>
      <c r="G28" s="14"/>
      <c r="H28" s="15"/>
      <c r="I28" s="16"/>
      <c r="J28" s="14"/>
      <c r="K28" s="16"/>
      <c r="L28" s="15"/>
      <c r="M28" s="17"/>
      <c r="N28" s="18"/>
      <c r="O28" s="17"/>
    </row>
    <row r="29" customFormat="false" ht="18.75" hidden="false" customHeight="true" outlineLevel="0" collapsed="false">
      <c r="A29" s="9" t="s">
        <v>105</v>
      </c>
      <c r="B29" s="10" t="s">
        <v>23</v>
      </c>
      <c r="C29" s="11"/>
      <c r="D29" s="11"/>
      <c r="E29" s="12" t="str">
        <f aca="false">IF(AND(C29&lt;&gt;"",D29&lt;&gt;""),IF(D29&gt;=C29,ROUND((D29-C29)*24,2),ROUND((D29-C29+1)*24,2)),"")</f>
        <v/>
      </c>
      <c r="F29" s="13" t="str">
        <f aca="false">IF(E29&lt;&gt;"",ROUND(E29*$I$2,0),"")</f>
        <v/>
      </c>
      <c r="G29" s="14"/>
      <c r="H29" s="15"/>
      <c r="I29" s="16"/>
      <c r="J29" s="14"/>
      <c r="K29" s="16"/>
      <c r="L29" s="15"/>
      <c r="M29" s="17"/>
      <c r="N29" s="18"/>
      <c r="O29" s="17"/>
    </row>
    <row r="30" customFormat="false" ht="18.75" hidden="false" customHeight="true" outlineLevel="0" collapsed="false">
      <c r="A30" s="9" t="s">
        <v>106</v>
      </c>
      <c r="B30" s="10" t="s">
        <v>25</v>
      </c>
      <c r="C30" s="11"/>
      <c r="D30" s="11"/>
      <c r="E30" s="12" t="str">
        <f aca="false">IF(AND(C30&lt;&gt;"",D30&lt;&gt;""),IF(D30&gt;=C30,ROUND((D30-C30)*24,2),ROUND((D30-C30+1)*24,2)),"")</f>
        <v/>
      </c>
      <c r="F30" s="13" t="str">
        <f aca="false">IF(E30&lt;&gt;"",ROUND(E30*$I$2,0),"")</f>
        <v/>
      </c>
      <c r="G30" s="14"/>
      <c r="H30" s="15"/>
      <c r="I30" s="16"/>
      <c r="J30" s="14"/>
      <c r="K30" s="16"/>
      <c r="L30" s="15"/>
      <c r="M30" s="17"/>
      <c r="N30" s="18"/>
      <c r="O30" s="17"/>
    </row>
    <row r="31" customFormat="false" ht="18.75" hidden="false" customHeight="true" outlineLevel="0" collapsed="false">
      <c r="A31" s="19" t="s">
        <v>107</v>
      </c>
      <c r="B31" s="20" t="s">
        <v>27</v>
      </c>
      <c r="C31" s="21"/>
      <c r="D31" s="21"/>
      <c r="E31" s="22" t="str">
        <f aca="false">IF(AND(C31&lt;&gt;"",D31&lt;&gt;""),IF(D31&gt;=C31,ROUND((D31-C31)*24,2),ROUND((D31-C31+1)*24,2)),"")</f>
        <v/>
      </c>
      <c r="F31" s="23" t="str">
        <f aca="false">IF(E31&lt;&gt;"",ROUND(E31*$I$2,0),"")</f>
        <v/>
      </c>
      <c r="G31" s="24"/>
      <c r="H31" s="25"/>
      <c r="I31" s="23"/>
      <c r="J31" s="24"/>
      <c r="K31" s="23"/>
      <c r="L31" s="25"/>
      <c r="M31" s="23"/>
      <c r="N31" s="24"/>
      <c r="O31" s="23"/>
    </row>
    <row r="32" customFormat="false" ht="3.75" hidden="false" customHeight="true" outlineLevel="0" collapsed="false"/>
    <row r="33" customFormat="false" ht="25.5" hidden="false" customHeight="true" outlineLevel="0" collapsed="false">
      <c r="A33" s="33" t="s">
        <v>60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</row>
    <row r="34" customFormat="false" ht="22.5" hidden="false" customHeight="true" outlineLevel="0" collapsed="false">
      <c r="A34" s="34" t="s">
        <v>61</v>
      </c>
      <c r="B34" s="34"/>
      <c r="C34" s="34"/>
      <c r="D34" s="34"/>
      <c r="E34" s="34"/>
      <c r="F34" s="35" t="n">
        <f aca="false">COUNT(E4:E31)</f>
        <v>0</v>
      </c>
      <c r="G34" s="35"/>
      <c r="H34" s="35"/>
      <c r="I34" s="35"/>
      <c r="J34" s="35"/>
      <c r="K34" s="35"/>
      <c r="L34" s="35"/>
      <c r="M34" s="35"/>
      <c r="N34" s="35"/>
      <c r="O34" s="35"/>
    </row>
    <row r="35" customFormat="false" ht="22.5" hidden="false" customHeight="true" outlineLevel="0" collapsed="false">
      <c r="A35" s="36" t="s">
        <v>62</v>
      </c>
      <c r="B35" s="36"/>
      <c r="C35" s="36"/>
      <c r="D35" s="36"/>
      <c r="E35" s="36"/>
      <c r="F35" s="37" t="n">
        <f aca="false">SUM(E4:E31)</f>
        <v>0</v>
      </c>
      <c r="G35" s="37"/>
      <c r="H35" s="37"/>
      <c r="I35" s="37"/>
      <c r="J35" s="37"/>
      <c r="K35" s="37"/>
      <c r="L35" s="37"/>
      <c r="M35" s="37"/>
      <c r="N35" s="37"/>
      <c r="O35" s="37"/>
    </row>
    <row r="36" customFormat="false" ht="22.5" hidden="false" customHeight="true" outlineLevel="0" collapsed="false">
      <c r="A36" s="38" t="s">
        <v>63</v>
      </c>
      <c r="B36" s="38"/>
      <c r="C36" s="38"/>
      <c r="D36" s="38"/>
      <c r="E36" s="38"/>
      <c r="F36" s="39" t="n">
        <f aca="false">SUM(F4:F31)</f>
        <v>0</v>
      </c>
      <c r="G36" s="39"/>
      <c r="H36" s="39"/>
      <c r="I36" s="39"/>
      <c r="J36" s="39"/>
      <c r="K36" s="39"/>
      <c r="L36" s="39"/>
      <c r="M36" s="39"/>
      <c r="N36" s="39"/>
      <c r="O36" s="39"/>
    </row>
    <row r="37" customFormat="false" ht="22.5" hidden="false" customHeight="true" outlineLevel="0" collapsed="false">
      <c r="A37" s="36" t="s">
        <v>64</v>
      </c>
      <c r="B37" s="36"/>
      <c r="C37" s="36"/>
      <c r="D37" s="36"/>
      <c r="E37" s="36"/>
      <c r="F37" s="40" t="n">
        <f aca="false">IF(F36=0,0,IFERROR(VLOOKUP(F36,税額表!$A$2:$B$74,2,TRUE()),0))</f>
        <v>0</v>
      </c>
      <c r="G37" s="40"/>
      <c r="H37" s="40"/>
      <c r="I37" s="40"/>
      <c r="J37" s="40"/>
      <c r="K37" s="40"/>
      <c r="L37" s="40"/>
      <c r="M37" s="40"/>
      <c r="N37" s="40"/>
      <c r="O37" s="40"/>
    </row>
    <row r="38" customFormat="false" ht="22.5" hidden="false" customHeight="true" outlineLevel="0" collapsed="false">
      <c r="A38" s="38" t="s">
        <v>65</v>
      </c>
      <c r="B38" s="38"/>
      <c r="C38" s="38"/>
      <c r="D38" s="38"/>
      <c r="E38" s="38"/>
      <c r="F38" s="39" t="n">
        <f aca="false">F36-F37</f>
        <v>0</v>
      </c>
      <c r="G38" s="39"/>
      <c r="H38" s="39"/>
      <c r="I38" s="39"/>
      <c r="J38" s="39"/>
      <c r="K38" s="39"/>
      <c r="L38" s="39"/>
      <c r="M38" s="39"/>
      <c r="N38" s="39"/>
      <c r="O38" s="39"/>
    </row>
    <row r="39" customFormat="false" ht="22.5" hidden="false" customHeight="true" outlineLevel="0" collapsed="false">
      <c r="A39" s="36" t="s">
        <v>66</v>
      </c>
      <c r="B39" s="36"/>
      <c r="C39" s="36"/>
      <c r="D39" s="36"/>
      <c r="E39" s="36"/>
      <c r="F39" s="40" t="n">
        <f aca="false">SUM(I4:I31)</f>
        <v>0</v>
      </c>
      <c r="G39" s="40"/>
      <c r="H39" s="40"/>
      <c r="I39" s="40"/>
      <c r="J39" s="40"/>
      <c r="K39" s="40"/>
      <c r="L39" s="40"/>
      <c r="M39" s="40"/>
      <c r="N39" s="40"/>
      <c r="O39" s="40"/>
    </row>
    <row r="40" customFormat="false" ht="22.5" hidden="false" customHeight="true" outlineLevel="0" collapsed="false">
      <c r="A40" s="36" t="s">
        <v>67</v>
      </c>
      <c r="B40" s="36"/>
      <c r="C40" s="36"/>
      <c r="D40" s="36"/>
      <c r="E40" s="36"/>
      <c r="F40" s="40" t="n">
        <f aca="false">SUMIF(L4:L31,"現金",K4:K31)+SUMIF(L4:L31,"個人カード",K4:K31)</f>
        <v>0</v>
      </c>
      <c r="G40" s="40"/>
      <c r="H40" s="40"/>
      <c r="I40" s="40"/>
      <c r="J40" s="40"/>
      <c r="K40" s="40"/>
      <c r="L40" s="40"/>
      <c r="M40" s="40"/>
      <c r="N40" s="40"/>
      <c r="O40" s="40"/>
    </row>
    <row r="41" customFormat="false" ht="22.5" hidden="false" customHeight="true" outlineLevel="0" collapsed="false">
      <c r="A41" s="41" t="s">
        <v>68</v>
      </c>
      <c r="B41" s="41"/>
      <c r="C41" s="41"/>
      <c r="D41" s="41"/>
      <c r="E41" s="41"/>
      <c r="F41" s="42" t="n">
        <f aca="false">SUM(M4:M31)</f>
        <v>0</v>
      </c>
      <c r="G41" s="42"/>
      <c r="H41" s="42"/>
      <c r="I41" s="42"/>
      <c r="J41" s="42"/>
      <c r="K41" s="42"/>
      <c r="L41" s="42"/>
      <c r="M41" s="42"/>
      <c r="N41" s="42"/>
      <c r="O41" s="42"/>
    </row>
    <row r="42" customFormat="false" ht="22.5" hidden="false" customHeight="true" outlineLevel="0" collapsed="false">
      <c r="A42" s="41" t="s">
        <v>69</v>
      </c>
      <c r="B42" s="41"/>
      <c r="C42" s="41"/>
      <c r="D42" s="41"/>
      <c r="E42" s="41"/>
      <c r="F42" s="42" t="n">
        <f aca="false">SUM(O4:O31)</f>
        <v>0</v>
      </c>
      <c r="G42" s="42"/>
      <c r="H42" s="42"/>
      <c r="I42" s="42"/>
      <c r="J42" s="42"/>
      <c r="K42" s="42"/>
      <c r="L42" s="42"/>
      <c r="M42" s="42"/>
      <c r="N42" s="42"/>
      <c r="O42" s="42"/>
    </row>
    <row r="43" customFormat="false" ht="22.5" hidden="false" customHeight="true" outlineLevel="0" collapsed="false">
      <c r="A43" s="43" t="s">
        <v>70</v>
      </c>
      <c r="B43" s="43"/>
      <c r="C43" s="43"/>
      <c r="D43" s="43"/>
      <c r="E43" s="43"/>
      <c r="F43" s="44" t="n">
        <f aca="false">'1月'!F43</f>
        <v>0</v>
      </c>
      <c r="G43" s="44"/>
      <c r="H43" s="44"/>
      <c r="I43" s="44"/>
      <c r="J43" s="44"/>
      <c r="K43" s="44"/>
      <c r="L43" s="44"/>
      <c r="M43" s="44"/>
      <c r="N43" s="44"/>
      <c r="O43" s="44"/>
    </row>
    <row r="44" customFormat="false" ht="22.5" hidden="false" customHeight="true" outlineLevel="0" collapsed="false">
      <c r="A44" s="45" t="s">
        <v>71</v>
      </c>
      <c r="B44" s="45"/>
      <c r="C44" s="45"/>
      <c r="D44" s="45"/>
      <c r="E44" s="45"/>
      <c r="F44" s="46" t="n">
        <f aca="false">F38+F39+F40+F41+F42+F43</f>
        <v>0</v>
      </c>
      <c r="G44" s="46"/>
      <c r="H44" s="46"/>
      <c r="I44" s="46"/>
      <c r="J44" s="46"/>
      <c r="K44" s="46"/>
      <c r="L44" s="46"/>
      <c r="M44" s="46"/>
      <c r="N44" s="46"/>
      <c r="O44" s="46"/>
    </row>
    <row r="46" customFormat="false" ht="13.5" hidden="false" customHeight="true" outlineLevel="0" collapsed="false">
      <c r="A46" s="47" t="s">
        <v>72</v>
      </c>
      <c r="B46" s="47"/>
      <c r="C46" s="48" t="s">
        <v>73</v>
      </c>
      <c r="D46" s="48"/>
      <c r="E46" s="49" t="s">
        <v>74</v>
      </c>
      <c r="F46" s="49"/>
      <c r="G46" s="50" t="s">
        <v>75</v>
      </c>
      <c r="H46" s="50"/>
      <c r="I46" s="51" t="s">
        <v>76</v>
      </c>
      <c r="J46" s="51"/>
      <c r="K46" s="52" t="s">
        <v>108</v>
      </c>
      <c r="L46" s="52"/>
    </row>
    <row r="47" customFormat="false" ht="30" hidden="false" customHeight="true" outlineLevel="0" collapsed="false">
      <c r="A47" s="53" t="s">
        <v>78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</row>
  </sheetData>
  <mergeCells count="36">
    <mergeCell ref="A1:O1"/>
    <mergeCell ref="A2:B2"/>
    <mergeCell ref="C2:F2"/>
    <mergeCell ref="G2:H2"/>
    <mergeCell ref="I2:K2"/>
    <mergeCell ref="L2:O2"/>
    <mergeCell ref="A33:O33"/>
    <mergeCell ref="A34:E34"/>
    <mergeCell ref="F34:O34"/>
    <mergeCell ref="A35:E35"/>
    <mergeCell ref="F35:O35"/>
    <mergeCell ref="A36:E36"/>
    <mergeCell ref="F36:O36"/>
    <mergeCell ref="A37:E37"/>
    <mergeCell ref="F37:O37"/>
    <mergeCell ref="A38:E38"/>
    <mergeCell ref="F38:O38"/>
    <mergeCell ref="A39:E39"/>
    <mergeCell ref="F39:O39"/>
    <mergeCell ref="A40:E40"/>
    <mergeCell ref="F40:O40"/>
    <mergeCell ref="A41:E41"/>
    <mergeCell ref="F41:O41"/>
    <mergeCell ref="A42:E42"/>
    <mergeCell ref="F42:O42"/>
    <mergeCell ref="A43:E43"/>
    <mergeCell ref="F43:O43"/>
    <mergeCell ref="A44:E44"/>
    <mergeCell ref="F44:O44"/>
    <mergeCell ref="A46:B46"/>
    <mergeCell ref="C46:D46"/>
    <mergeCell ref="E46:F46"/>
    <mergeCell ref="G46:H46"/>
    <mergeCell ref="I46:J46"/>
    <mergeCell ref="K46:L46"/>
    <mergeCell ref="A47:O47"/>
  </mergeCells>
  <dataValidations count="1">
    <dataValidation allowBlank="true" error="「現金」「個人カード」「法人カード」から選択してください。" errorStyle="stop" errorTitle="入力エラー" operator="between" showDropDown="false" showErrorMessage="true" showInputMessage="false" sqref="L4:L31" type="list">
      <formula1>"現金,個人カード,法人カード"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6.82"/>
    <col collapsed="false" customWidth="true" hidden="false" outlineLevel="0" max="2" min="2" style="0" width="3.81"/>
    <col collapsed="false" customWidth="true" hidden="false" outlineLevel="0" max="4" min="3" style="0" width="11.04"/>
    <col collapsed="false" customWidth="true" hidden="false" outlineLevel="0" max="5" min="5" style="0" width="8.99"/>
    <col collapsed="false" customWidth="true" hidden="false" outlineLevel="0" max="6" min="6" style="0" width="11.04"/>
    <col collapsed="false" customWidth="true" hidden="false" outlineLevel="0" max="7" min="7" style="0" width="14.04"/>
    <col collapsed="false" customWidth="true" hidden="false" outlineLevel="0" max="9" min="8" style="0" width="11.04"/>
    <col collapsed="false" customWidth="true" hidden="false" outlineLevel="0" max="10" min="10" style="0" width="17.99"/>
    <col collapsed="false" customWidth="true" hidden="false" outlineLevel="0" max="11" min="11" style="0" width="12.81"/>
    <col collapsed="false" customWidth="true" hidden="false" outlineLevel="0" max="12" min="12" style="0" width="11.99"/>
    <col collapsed="false" customWidth="true" hidden="false" outlineLevel="0" max="13" min="13" style="0" width="9.82"/>
    <col collapsed="false" customWidth="true" hidden="false" outlineLevel="0" max="14" min="14" style="0" width="15.81"/>
    <col collapsed="false" customWidth="true" hidden="false" outlineLevel="0" max="15" min="15" style="0" width="12.81"/>
  </cols>
  <sheetData>
    <row r="1" customFormat="false" ht="36" hidden="false" customHeight="true" outlineLevel="0" collapsed="false">
      <c r="A1" s="2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4" hidden="false" customHeight="true" outlineLevel="0" collapsed="false">
      <c r="A2" s="3" t="s">
        <v>3</v>
      </c>
      <c r="B2" s="3"/>
      <c r="C2" s="4" t="s">
        <v>4</v>
      </c>
      <c r="D2" s="4"/>
      <c r="E2" s="4"/>
      <c r="F2" s="4"/>
      <c r="G2" s="3" t="s">
        <v>5</v>
      </c>
      <c r="H2" s="3"/>
      <c r="I2" s="5" t="n">
        <v>1300</v>
      </c>
      <c r="J2" s="5"/>
      <c r="K2" s="5"/>
      <c r="L2" s="6" t="s">
        <v>6</v>
      </c>
      <c r="M2" s="6"/>
      <c r="N2" s="6"/>
      <c r="O2" s="6"/>
    </row>
    <row r="3" customFormat="false" ht="42" hidden="false" customHeight="true" outlineLevel="0" collapsed="false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8" t="s">
        <v>19</v>
      </c>
      <c r="N3" s="8" t="s">
        <v>20</v>
      </c>
      <c r="O3" s="8" t="s">
        <v>21</v>
      </c>
    </row>
    <row r="4" customFormat="false" ht="18.75" hidden="false" customHeight="true" outlineLevel="0" collapsed="false">
      <c r="A4" s="26" t="s">
        <v>110</v>
      </c>
      <c r="B4" s="27" t="s">
        <v>29</v>
      </c>
      <c r="C4" s="28"/>
      <c r="D4" s="28"/>
      <c r="E4" s="29" t="str">
        <f aca="false">IF(AND(C4&lt;&gt;"",D4&lt;&gt;""),IF(D4&gt;=C4,ROUND((D4-C4)*24,2),ROUND((D4-C4+1)*24,2)),"")</f>
        <v/>
      </c>
      <c r="F4" s="30" t="str">
        <f aca="false">IF(E4&lt;&gt;"",ROUND(E4*$I$2,0),"")</f>
        <v/>
      </c>
      <c r="G4" s="31"/>
      <c r="H4" s="32"/>
      <c r="I4" s="30"/>
      <c r="J4" s="31"/>
      <c r="K4" s="30"/>
      <c r="L4" s="32"/>
      <c r="M4" s="30"/>
      <c r="N4" s="31"/>
      <c r="O4" s="30"/>
    </row>
    <row r="5" customFormat="false" ht="18.75" hidden="false" customHeight="true" outlineLevel="0" collapsed="false">
      <c r="A5" s="9" t="s">
        <v>111</v>
      </c>
      <c r="B5" s="10" t="s">
        <v>31</v>
      </c>
      <c r="C5" s="11"/>
      <c r="D5" s="11"/>
      <c r="E5" s="12" t="str">
        <f aca="false">IF(AND(C5&lt;&gt;"",D5&lt;&gt;""),IF(D5&gt;=C5,ROUND((D5-C5)*24,2),ROUND((D5-C5+1)*24,2)),"")</f>
        <v/>
      </c>
      <c r="F5" s="13" t="str">
        <f aca="false">IF(E5&lt;&gt;"",ROUND(E5*$I$2,0),"")</f>
        <v/>
      </c>
      <c r="G5" s="14"/>
      <c r="H5" s="15"/>
      <c r="I5" s="16"/>
      <c r="J5" s="14"/>
      <c r="K5" s="16"/>
      <c r="L5" s="15"/>
      <c r="M5" s="17"/>
      <c r="N5" s="18"/>
      <c r="O5" s="17"/>
    </row>
    <row r="6" customFormat="false" ht="18.75" hidden="false" customHeight="true" outlineLevel="0" collapsed="false">
      <c r="A6" s="9" t="s">
        <v>112</v>
      </c>
      <c r="B6" s="10" t="s">
        <v>33</v>
      </c>
      <c r="C6" s="11"/>
      <c r="D6" s="11"/>
      <c r="E6" s="12" t="str">
        <f aca="false">IF(AND(C6&lt;&gt;"",D6&lt;&gt;""),IF(D6&gt;=C6,ROUND((D6-C6)*24,2),ROUND((D6-C6+1)*24,2)),"")</f>
        <v/>
      </c>
      <c r="F6" s="13" t="str">
        <f aca="false">IF(E6&lt;&gt;"",ROUND(E6*$I$2,0),"")</f>
        <v/>
      </c>
      <c r="G6" s="14"/>
      <c r="H6" s="15"/>
      <c r="I6" s="16"/>
      <c r="J6" s="14"/>
      <c r="K6" s="16"/>
      <c r="L6" s="15"/>
      <c r="M6" s="17"/>
      <c r="N6" s="18"/>
      <c r="O6" s="17"/>
    </row>
    <row r="7" customFormat="false" ht="18.75" hidden="false" customHeight="true" outlineLevel="0" collapsed="false">
      <c r="A7" s="9" t="s">
        <v>113</v>
      </c>
      <c r="B7" s="10" t="s">
        <v>35</v>
      </c>
      <c r="C7" s="11"/>
      <c r="D7" s="11"/>
      <c r="E7" s="12" t="str">
        <f aca="false">IF(AND(C7&lt;&gt;"",D7&lt;&gt;""),IF(D7&gt;=C7,ROUND((D7-C7)*24,2),ROUND((D7-C7+1)*24,2)),"")</f>
        <v/>
      </c>
      <c r="F7" s="13" t="str">
        <f aca="false">IF(E7&lt;&gt;"",ROUND(E7*$I$2,0),"")</f>
        <v/>
      </c>
      <c r="G7" s="14"/>
      <c r="H7" s="15"/>
      <c r="I7" s="16"/>
      <c r="J7" s="14"/>
      <c r="K7" s="16"/>
      <c r="L7" s="15"/>
      <c r="M7" s="17"/>
      <c r="N7" s="18"/>
      <c r="O7" s="17"/>
    </row>
    <row r="8" customFormat="false" ht="18.75" hidden="false" customHeight="true" outlineLevel="0" collapsed="false">
      <c r="A8" s="9" t="s">
        <v>114</v>
      </c>
      <c r="B8" s="10" t="s">
        <v>23</v>
      </c>
      <c r="C8" s="11"/>
      <c r="D8" s="11"/>
      <c r="E8" s="12" t="str">
        <f aca="false">IF(AND(C8&lt;&gt;"",D8&lt;&gt;""),IF(D8&gt;=C8,ROUND((D8-C8)*24,2),ROUND((D8-C8+1)*24,2)),"")</f>
        <v/>
      </c>
      <c r="F8" s="13" t="str">
        <f aca="false">IF(E8&lt;&gt;"",ROUND(E8*$I$2,0),"")</f>
        <v/>
      </c>
      <c r="G8" s="14"/>
      <c r="H8" s="15"/>
      <c r="I8" s="16"/>
      <c r="J8" s="14"/>
      <c r="K8" s="16"/>
      <c r="L8" s="15"/>
      <c r="M8" s="17"/>
      <c r="N8" s="18"/>
      <c r="O8" s="17"/>
    </row>
    <row r="9" customFormat="false" ht="18.75" hidden="false" customHeight="true" outlineLevel="0" collapsed="false">
      <c r="A9" s="9" t="s">
        <v>115</v>
      </c>
      <c r="B9" s="10" t="s">
        <v>25</v>
      </c>
      <c r="C9" s="11"/>
      <c r="D9" s="11"/>
      <c r="E9" s="12" t="str">
        <f aca="false">IF(AND(C9&lt;&gt;"",D9&lt;&gt;""),IF(D9&gt;=C9,ROUND((D9-C9)*24,2),ROUND((D9-C9+1)*24,2)),"")</f>
        <v/>
      </c>
      <c r="F9" s="13" t="str">
        <f aca="false">IF(E9&lt;&gt;"",ROUND(E9*$I$2,0),"")</f>
        <v/>
      </c>
      <c r="G9" s="14"/>
      <c r="H9" s="15"/>
      <c r="I9" s="16"/>
      <c r="J9" s="14"/>
      <c r="K9" s="16"/>
      <c r="L9" s="15"/>
      <c r="M9" s="17"/>
      <c r="N9" s="18"/>
      <c r="O9" s="17"/>
    </row>
    <row r="10" customFormat="false" ht="18.75" hidden="false" customHeight="true" outlineLevel="0" collapsed="false">
      <c r="A10" s="19" t="s">
        <v>116</v>
      </c>
      <c r="B10" s="20" t="s">
        <v>27</v>
      </c>
      <c r="C10" s="21"/>
      <c r="D10" s="21"/>
      <c r="E10" s="22" t="str">
        <f aca="false">IF(AND(C10&lt;&gt;"",D10&lt;&gt;""),IF(D10&gt;=C10,ROUND((D10-C10)*24,2),ROUND((D10-C10+1)*24,2)),"")</f>
        <v/>
      </c>
      <c r="F10" s="23" t="str">
        <f aca="false">IF(E10&lt;&gt;"",ROUND(E10*$I$2,0),"")</f>
        <v/>
      </c>
      <c r="G10" s="24"/>
      <c r="H10" s="25"/>
      <c r="I10" s="23"/>
      <c r="J10" s="24"/>
      <c r="K10" s="23"/>
      <c r="L10" s="25"/>
      <c r="M10" s="23"/>
      <c r="N10" s="24"/>
      <c r="O10" s="23"/>
    </row>
    <row r="11" customFormat="false" ht="18.75" hidden="false" customHeight="true" outlineLevel="0" collapsed="false">
      <c r="A11" s="26" t="s">
        <v>117</v>
      </c>
      <c r="B11" s="27" t="s">
        <v>29</v>
      </c>
      <c r="C11" s="28"/>
      <c r="D11" s="28"/>
      <c r="E11" s="29" t="str">
        <f aca="false">IF(AND(C11&lt;&gt;"",D11&lt;&gt;""),IF(D11&gt;=C11,ROUND((D11-C11)*24,2),ROUND((D11-C11+1)*24,2)),"")</f>
        <v/>
      </c>
      <c r="F11" s="30" t="str">
        <f aca="false">IF(E11&lt;&gt;"",ROUND(E11*$I$2,0),"")</f>
        <v/>
      </c>
      <c r="G11" s="31"/>
      <c r="H11" s="32"/>
      <c r="I11" s="30"/>
      <c r="J11" s="31"/>
      <c r="K11" s="30"/>
      <c r="L11" s="32"/>
      <c r="M11" s="30"/>
      <c r="N11" s="31"/>
      <c r="O11" s="30"/>
    </row>
    <row r="12" customFormat="false" ht="18.75" hidden="false" customHeight="true" outlineLevel="0" collapsed="false">
      <c r="A12" s="9" t="s">
        <v>118</v>
      </c>
      <c r="B12" s="10" t="s">
        <v>31</v>
      </c>
      <c r="C12" s="11"/>
      <c r="D12" s="11"/>
      <c r="E12" s="12" t="str">
        <f aca="false">IF(AND(C12&lt;&gt;"",D12&lt;&gt;""),IF(D12&gt;=C12,ROUND((D12-C12)*24,2),ROUND((D12-C12+1)*24,2)),"")</f>
        <v/>
      </c>
      <c r="F12" s="13" t="str">
        <f aca="false">IF(E12&lt;&gt;"",ROUND(E12*$I$2,0),"")</f>
        <v/>
      </c>
      <c r="G12" s="14"/>
      <c r="H12" s="15"/>
      <c r="I12" s="16"/>
      <c r="J12" s="14"/>
      <c r="K12" s="16"/>
      <c r="L12" s="15"/>
      <c r="M12" s="17"/>
      <c r="N12" s="18"/>
      <c r="O12" s="17"/>
    </row>
    <row r="13" customFormat="false" ht="18.75" hidden="false" customHeight="true" outlineLevel="0" collapsed="false">
      <c r="A13" s="9" t="s">
        <v>119</v>
      </c>
      <c r="B13" s="10" t="s">
        <v>33</v>
      </c>
      <c r="C13" s="11"/>
      <c r="D13" s="11"/>
      <c r="E13" s="12" t="str">
        <f aca="false">IF(AND(C13&lt;&gt;"",D13&lt;&gt;""),IF(D13&gt;=C13,ROUND((D13-C13)*24,2),ROUND((D13-C13+1)*24,2)),"")</f>
        <v/>
      </c>
      <c r="F13" s="13" t="str">
        <f aca="false">IF(E13&lt;&gt;"",ROUND(E13*$I$2,0),"")</f>
        <v/>
      </c>
      <c r="G13" s="14"/>
      <c r="H13" s="15"/>
      <c r="I13" s="16"/>
      <c r="J13" s="14"/>
      <c r="K13" s="16"/>
      <c r="L13" s="15"/>
      <c r="M13" s="17"/>
      <c r="N13" s="18"/>
      <c r="O13" s="17"/>
    </row>
    <row r="14" customFormat="false" ht="18.75" hidden="false" customHeight="true" outlineLevel="0" collapsed="false">
      <c r="A14" s="9" t="s">
        <v>120</v>
      </c>
      <c r="B14" s="10" t="s">
        <v>35</v>
      </c>
      <c r="C14" s="11"/>
      <c r="D14" s="11"/>
      <c r="E14" s="12" t="str">
        <f aca="false">IF(AND(C14&lt;&gt;"",D14&lt;&gt;""),IF(D14&gt;=C14,ROUND((D14-C14)*24,2),ROUND((D14-C14+1)*24,2)),"")</f>
        <v/>
      </c>
      <c r="F14" s="13" t="str">
        <f aca="false">IF(E14&lt;&gt;"",ROUND(E14*$I$2,0),"")</f>
        <v/>
      </c>
      <c r="G14" s="14"/>
      <c r="H14" s="15"/>
      <c r="I14" s="16"/>
      <c r="J14" s="14"/>
      <c r="K14" s="16"/>
      <c r="L14" s="15"/>
      <c r="M14" s="17"/>
      <c r="N14" s="18"/>
      <c r="O14" s="17"/>
    </row>
    <row r="15" customFormat="false" ht="18.75" hidden="false" customHeight="true" outlineLevel="0" collapsed="false">
      <c r="A15" s="9" t="s">
        <v>121</v>
      </c>
      <c r="B15" s="10" t="s">
        <v>23</v>
      </c>
      <c r="C15" s="11"/>
      <c r="D15" s="11"/>
      <c r="E15" s="12" t="str">
        <f aca="false">IF(AND(C15&lt;&gt;"",D15&lt;&gt;""),IF(D15&gt;=C15,ROUND((D15-C15)*24,2),ROUND((D15-C15+1)*24,2)),"")</f>
        <v/>
      </c>
      <c r="F15" s="13" t="str">
        <f aca="false">IF(E15&lt;&gt;"",ROUND(E15*$I$2,0),"")</f>
        <v/>
      </c>
      <c r="G15" s="14"/>
      <c r="H15" s="15"/>
      <c r="I15" s="16"/>
      <c r="J15" s="14"/>
      <c r="K15" s="16"/>
      <c r="L15" s="15"/>
      <c r="M15" s="17"/>
      <c r="N15" s="18"/>
      <c r="O15" s="17"/>
    </row>
    <row r="16" customFormat="false" ht="18.75" hidden="false" customHeight="true" outlineLevel="0" collapsed="false">
      <c r="A16" s="9" t="s">
        <v>122</v>
      </c>
      <c r="B16" s="10" t="s">
        <v>25</v>
      </c>
      <c r="C16" s="11"/>
      <c r="D16" s="11"/>
      <c r="E16" s="12" t="str">
        <f aca="false">IF(AND(C16&lt;&gt;"",D16&lt;&gt;""),IF(D16&gt;=C16,ROUND((D16-C16)*24,2),ROUND((D16-C16+1)*24,2)),"")</f>
        <v/>
      </c>
      <c r="F16" s="13" t="str">
        <f aca="false">IF(E16&lt;&gt;"",ROUND(E16*$I$2,0),"")</f>
        <v/>
      </c>
      <c r="G16" s="14"/>
      <c r="H16" s="15"/>
      <c r="I16" s="16"/>
      <c r="J16" s="14"/>
      <c r="K16" s="16"/>
      <c r="L16" s="15"/>
      <c r="M16" s="17"/>
      <c r="N16" s="18"/>
      <c r="O16" s="17"/>
    </row>
    <row r="17" customFormat="false" ht="18.75" hidden="false" customHeight="true" outlineLevel="0" collapsed="false">
      <c r="A17" s="19" t="s">
        <v>123</v>
      </c>
      <c r="B17" s="20" t="s">
        <v>27</v>
      </c>
      <c r="C17" s="21"/>
      <c r="D17" s="21"/>
      <c r="E17" s="22" t="str">
        <f aca="false">IF(AND(C17&lt;&gt;"",D17&lt;&gt;""),IF(D17&gt;=C17,ROUND((D17-C17)*24,2),ROUND((D17-C17+1)*24,2)),"")</f>
        <v/>
      </c>
      <c r="F17" s="23" t="str">
        <f aca="false">IF(E17&lt;&gt;"",ROUND(E17*$I$2,0),"")</f>
        <v/>
      </c>
      <c r="G17" s="24"/>
      <c r="H17" s="25"/>
      <c r="I17" s="23"/>
      <c r="J17" s="24"/>
      <c r="K17" s="23"/>
      <c r="L17" s="25"/>
      <c r="M17" s="23"/>
      <c r="N17" s="24"/>
      <c r="O17" s="23"/>
    </row>
    <row r="18" customFormat="false" ht="18.75" hidden="false" customHeight="true" outlineLevel="0" collapsed="false">
      <c r="A18" s="26" t="s">
        <v>124</v>
      </c>
      <c r="B18" s="27" t="s">
        <v>29</v>
      </c>
      <c r="C18" s="28"/>
      <c r="D18" s="28"/>
      <c r="E18" s="29" t="str">
        <f aca="false">IF(AND(C18&lt;&gt;"",D18&lt;&gt;""),IF(D18&gt;=C18,ROUND((D18-C18)*24,2),ROUND((D18-C18+1)*24,2)),"")</f>
        <v/>
      </c>
      <c r="F18" s="30" t="str">
        <f aca="false">IF(E18&lt;&gt;"",ROUND(E18*$I$2,0),"")</f>
        <v/>
      </c>
      <c r="G18" s="31"/>
      <c r="H18" s="32"/>
      <c r="I18" s="30"/>
      <c r="J18" s="31"/>
      <c r="K18" s="30"/>
      <c r="L18" s="32"/>
      <c r="M18" s="30"/>
      <c r="N18" s="31"/>
      <c r="O18" s="30"/>
    </row>
    <row r="19" customFormat="false" ht="18.75" hidden="false" customHeight="true" outlineLevel="0" collapsed="false">
      <c r="A19" s="9" t="s">
        <v>125</v>
      </c>
      <c r="B19" s="10" t="s">
        <v>31</v>
      </c>
      <c r="C19" s="11"/>
      <c r="D19" s="11"/>
      <c r="E19" s="12" t="str">
        <f aca="false">IF(AND(C19&lt;&gt;"",D19&lt;&gt;""),IF(D19&gt;=C19,ROUND((D19-C19)*24,2),ROUND((D19-C19+1)*24,2)),"")</f>
        <v/>
      </c>
      <c r="F19" s="13" t="str">
        <f aca="false">IF(E19&lt;&gt;"",ROUND(E19*$I$2,0),"")</f>
        <v/>
      </c>
      <c r="G19" s="14"/>
      <c r="H19" s="15"/>
      <c r="I19" s="16"/>
      <c r="J19" s="14"/>
      <c r="K19" s="16"/>
      <c r="L19" s="15"/>
      <c r="M19" s="17"/>
      <c r="N19" s="18"/>
      <c r="O19" s="17"/>
    </row>
    <row r="20" customFormat="false" ht="18.75" hidden="false" customHeight="true" outlineLevel="0" collapsed="false">
      <c r="A20" s="9" t="s">
        <v>126</v>
      </c>
      <c r="B20" s="10" t="s">
        <v>33</v>
      </c>
      <c r="C20" s="11"/>
      <c r="D20" s="11"/>
      <c r="E20" s="12" t="str">
        <f aca="false">IF(AND(C20&lt;&gt;"",D20&lt;&gt;""),IF(D20&gt;=C20,ROUND((D20-C20)*24,2),ROUND((D20-C20+1)*24,2)),"")</f>
        <v/>
      </c>
      <c r="F20" s="13" t="str">
        <f aca="false">IF(E20&lt;&gt;"",ROUND(E20*$I$2,0),"")</f>
        <v/>
      </c>
      <c r="G20" s="14"/>
      <c r="H20" s="15"/>
      <c r="I20" s="16"/>
      <c r="J20" s="14"/>
      <c r="K20" s="16"/>
      <c r="L20" s="15"/>
      <c r="M20" s="17"/>
      <c r="N20" s="18"/>
      <c r="O20" s="17"/>
    </row>
    <row r="21" customFormat="false" ht="18.75" hidden="false" customHeight="true" outlineLevel="0" collapsed="false">
      <c r="A21" s="9" t="s">
        <v>127</v>
      </c>
      <c r="B21" s="10" t="s">
        <v>35</v>
      </c>
      <c r="C21" s="11"/>
      <c r="D21" s="11"/>
      <c r="E21" s="12" t="str">
        <f aca="false">IF(AND(C21&lt;&gt;"",D21&lt;&gt;""),IF(D21&gt;=C21,ROUND((D21-C21)*24,2),ROUND((D21-C21+1)*24,2)),"")</f>
        <v/>
      </c>
      <c r="F21" s="13" t="str">
        <f aca="false">IF(E21&lt;&gt;"",ROUND(E21*$I$2,0),"")</f>
        <v/>
      </c>
      <c r="G21" s="14"/>
      <c r="H21" s="15"/>
      <c r="I21" s="16"/>
      <c r="J21" s="14"/>
      <c r="K21" s="16"/>
      <c r="L21" s="15"/>
      <c r="M21" s="17"/>
      <c r="N21" s="18"/>
      <c r="O21" s="17"/>
    </row>
    <row r="22" customFormat="false" ht="18.75" hidden="false" customHeight="true" outlineLevel="0" collapsed="false">
      <c r="A22" s="9" t="s">
        <v>128</v>
      </c>
      <c r="B22" s="10" t="s">
        <v>23</v>
      </c>
      <c r="C22" s="11"/>
      <c r="D22" s="11"/>
      <c r="E22" s="12" t="str">
        <f aca="false">IF(AND(C22&lt;&gt;"",D22&lt;&gt;""),IF(D22&gt;=C22,ROUND((D22-C22)*24,2),ROUND((D22-C22+1)*24,2)),"")</f>
        <v/>
      </c>
      <c r="F22" s="13" t="str">
        <f aca="false">IF(E22&lt;&gt;"",ROUND(E22*$I$2,0),"")</f>
        <v/>
      </c>
      <c r="G22" s="14"/>
      <c r="H22" s="15"/>
      <c r="I22" s="16"/>
      <c r="J22" s="14"/>
      <c r="K22" s="16"/>
      <c r="L22" s="15"/>
      <c r="M22" s="17"/>
      <c r="N22" s="18"/>
      <c r="O22" s="17"/>
    </row>
    <row r="23" customFormat="false" ht="18.75" hidden="false" customHeight="true" outlineLevel="0" collapsed="false">
      <c r="A23" s="9" t="s">
        <v>129</v>
      </c>
      <c r="B23" s="10" t="s">
        <v>25</v>
      </c>
      <c r="C23" s="11"/>
      <c r="D23" s="11"/>
      <c r="E23" s="12" t="str">
        <f aca="false">IF(AND(C23&lt;&gt;"",D23&lt;&gt;""),IF(D23&gt;=C23,ROUND((D23-C23)*24,2),ROUND((D23-C23+1)*24,2)),"")</f>
        <v/>
      </c>
      <c r="F23" s="13" t="str">
        <f aca="false">IF(E23&lt;&gt;"",ROUND(E23*$I$2,0),"")</f>
        <v/>
      </c>
      <c r="G23" s="14"/>
      <c r="H23" s="15"/>
      <c r="I23" s="16"/>
      <c r="J23" s="14"/>
      <c r="K23" s="16"/>
      <c r="L23" s="15"/>
      <c r="M23" s="17"/>
      <c r="N23" s="18"/>
      <c r="O23" s="17"/>
    </row>
    <row r="24" customFormat="false" ht="18.75" hidden="false" customHeight="true" outlineLevel="0" collapsed="false">
      <c r="A24" s="19" t="s">
        <v>130</v>
      </c>
      <c r="B24" s="20" t="s">
        <v>27</v>
      </c>
      <c r="C24" s="21"/>
      <c r="D24" s="21"/>
      <c r="E24" s="22" t="str">
        <f aca="false">IF(AND(C24&lt;&gt;"",D24&lt;&gt;""),IF(D24&gt;=C24,ROUND((D24-C24)*24,2),ROUND((D24-C24+1)*24,2)),"")</f>
        <v/>
      </c>
      <c r="F24" s="23" t="str">
        <f aca="false">IF(E24&lt;&gt;"",ROUND(E24*$I$2,0),"")</f>
        <v/>
      </c>
      <c r="G24" s="24"/>
      <c r="H24" s="25"/>
      <c r="I24" s="23"/>
      <c r="J24" s="24"/>
      <c r="K24" s="23"/>
      <c r="L24" s="25"/>
      <c r="M24" s="23"/>
      <c r="N24" s="24"/>
      <c r="O24" s="23"/>
    </row>
    <row r="25" customFormat="false" ht="18.75" hidden="false" customHeight="true" outlineLevel="0" collapsed="false">
      <c r="A25" s="26" t="s">
        <v>131</v>
      </c>
      <c r="B25" s="27" t="s">
        <v>29</v>
      </c>
      <c r="C25" s="28"/>
      <c r="D25" s="28"/>
      <c r="E25" s="29" t="str">
        <f aca="false">IF(AND(C25&lt;&gt;"",D25&lt;&gt;""),IF(D25&gt;=C25,ROUND((D25-C25)*24,2),ROUND((D25-C25+1)*24,2)),"")</f>
        <v/>
      </c>
      <c r="F25" s="30" t="str">
        <f aca="false">IF(E25&lt;&gt;"",ROUND(E25*$I$2,0),"")</f>
        <v/>
      </c>
      <c r="G25" s="31"/>
      <c r="H25" s="32"/>
      <c r="I25" s="30"/>
      <c r="J25" s="31"/>
      <c r="K25" s="30"/>
      <c r="L25" s="32"/>
      <c r="M25" s="30"/>
      <c r="N25" s="31"/>
      <c r="O25" s="30"/>
    </row>
    <row r="26" customFormat="false" ht="18.75" hidden="false" customHeight="true" outlineLevel="0" collapsed="false">
      <c r="A26" s="9" t="s">
        <v>132</v>
      </c>
      <c r="B26" s="10" t="s">
        <v>31</v>
      </c>
      <c r="C26" s="11"/>
      <c r="D26" s="11"/>
      <c r="E26" s="12" t="str">
        <f aca="false">IF(AND(C26&lt;&gt;"",D26&lt;&gt;""),IF(D26&gt;=C26,ROUND((D26-C26)*24,2),ROUND((D26-C26+1)*24,2)),"")</f>
        <v/>
      </c>
      <c r="F26" s="13" t="str">
        <f aca="false">IF(E26&lt;&gt;"",ROUND(E26*$I$2,0),"")</f>
        <v/>
      </c>
      <c r="G26" s="14"/>
      <c r="H26" s="15"/>
      <c r="I26" s="16"/>
      <c r="J26" s="14"/>
      <c r="K26" s="16"/>
      <c r="L26" s="15"/>
      <c r="M26" s="17"/>
      <c r="N26" s="18"/>
      <c r="O26" s="17"/>
    </row>
    <row r="27" customFormat="false" ht="18.75" hidden="false" customHeight="true" outlineLevel="0" collapsed="false">
      <c r="A27" s="9" t="s">
        <v>133</v>
      </c>
      <c r="B27" s="10" t="s">
        <v>33</v>
      </c>
      <c r="C27" s="11"/>
      <c r="D27" s="11"/>
      <c r="E27" s="12" t="str">
        <f aca="false">IF(AND(C27&lt;&gt;"",D27&lt;&gt;""),IF(D27&gt;=C27,ROUND((D27-C27)*24,2),ROUND((D27-C27+1)*24,2)),"")</f>
        <v/>
      </c>
      <c r="F27" s="13" t="str">
        <f aca="false">IF(E27&lt;&gt;"",ROUND(E27*$I$2,0),"")</f>
        <v/>
      </c>
      <c r="G27" s="14"/>
      <c r="H27" s="15"/>
      <c r="I27" s="16"/>
      <c r="J27" s="14"/>
      <c r="K27" s="16"/>
      <c r="L27" s="15"/>
      <c r="M27" s="17"/>
      <c r="N27" s="18"/>
      <c r="O27" s="17"/>
    </row>
    <row r="28" customFormat="false" ht="18.75" hidden="false" customHeight="true" outlineLevel="0" collapsed="false">
      <c r="A28" s="9" t="s">
        <v>134</v>
      </c>
      <c r="B28" s="10" t="s">
        <v>35</v>
      </c>
      <c r="C28" s="11"/>
      <c r="D28" s="11"/>
      <c r="E28" s="12" t="str">
        <f aca="false">IF(AND(C28&lt;&gt;"",D28&lt;&gt;""),IF(D28&gt;=C28,ROUND((D28-C28)*24,2),ROUND((D28-C28+1)*24,2)),"")</f>
        <v/>
      </c>
      <c r="F28" s="13" t="str">
        <f aca="false">IF(E28&lt;&gt;"",ROUND(E28*$I$2,0),"")</f>
        <v/>
      </c>
      <c r="G28" s="14"/>
      <c r="H28" s="15"/>
      <c r="I28" s="16"/>
      <c r="J28" s="14"/>
      <c r="K28" s="16"/>
      <c r="L28" s="15"/>
      <c r="M28" s="17"/>
      <c r="N28" s="18"/>
      <c r="O28" s="17"/>
    </row>
    <row r="29" customFormat="false" ht="18.75" hidden="false" customHeight="true" outlineLevel="0" collapsed="false">
      <c r="A29" s="9" t="s">
        <v>135</v>
      </c>
      <c r="B29" s="10" t="s">
        <v>23</v>
      </c>
      <c r="C29" s="11"/>
      <c r="D29" s="11"/>
      <c r="E29" s="12" t="str">
        <f aca="false">IF(AND(C29&lt;&gt;"",D29&lt;&gt;""),IF(D29&gt;=C29,ROUND((D29-C29)*24,2),ROUND((D29-C29+1)*24,2)),"")</f>
        <v/>
      </c>
      <c r="F29" s="13" t="str">
        <f aca="false">IF(E29&lt;&gt;"",ROUND(E29*$I$2,0),"")</f>
        <v/>
      </c>
      <c r="G29" s="14"/>
      <c r="H29" s="15"/>
      <c r="I29" s="16"/>
      <c r="J29" s="14"/>
      <c r="K29" s="16"/>
      <c r="L29" s="15"/>
      <c r="M29" s="17"/>
      <c r="N29" s="18"/>
      <c r="O29" s="17"/>
    </row>
    <row r="30" customFormat="false" ht="18.75" hidden="false" customHeight="true" outlineLevel="0" collapsed="false">
      <c r="A30" s="9" t="s">
        <v>136</v>
      </c>
      <c r="B30" s="10" t="s">
        <v>25</v>
      </c>
      <c r="C30" s="11"/>
      <c r="D30" s="11"/>
      <c r="E30" s="12" t="str">
        <f aca="false">IF(AND(C30&lt;&gt;"",D30&lt;&gt;""),IF(D30&gt;=C30,ROUND((D30-C30)*24,2),ROUND((D30-C30+1)*24,2)),"")</f>
        <v/>
      </c>
      <c r="F30" s="13" t="str">
        <f aca="false">IF(E30&lt;&gt;"",ROUND(E30*$I$2,0),"")</f>
        <v/>
      </c>
      <c r="G30" s="14"/>
      <c r="H30" s="15"/>
      <c r="I30" s="16"/>
      <c r="J30" s="14"/>
      <c r="K30" s="16"/>
      <c r="L30" s="15"/>
      <c r="M30" s="17"/>
      <c r="N30" s="18"/>
      <c r="O30" s="17"/>
    </row>
    <row r="31" customFormat="false" ht="18.75" hidden="false" customHeight="true" outlineLevel="0" collapsed="false">
      <c r="A31" s="19" t="s">
        <v>137</v>
      </c>
      <c r="B31" s="20" t="s">
        <v>27</v>
      </c>
      <c r="C31" s="21"/>
      <c r="D31" s="21"/>
      <c r="E31" s="22" t="str">
        <f aca="false">IF(AND(C31&lt;&gt;"",D31&lt;&gt;""),IF(D31&gt;=C31,ROUND((D31-C31)*24,2),ROUND((D31-C31+1)*24,2)),"")</f>
        <v/>
      </c>
      <c r="F31" s="23" t="str">
        <f aca="false">IF(E31&lt;&gt;"",ROUND(E31*$I$2,0),"")</f>
        <v/>
      </c>
      <c r="G31" s="24"/>
      <c r="H31" s="25"/>
      <c r="I31" s="23"/>
      <c r="J31" s="24"/>
      <c r="K31" s="23"/>
      <c r="L31" s="25"/>
      <c r="M31" s="23"/>
      <c r="N31" s="24"/>
      <c r="O31" s="23"/>
    </row>
    <row r="32" customFormat="false" ht="18.75" hidden="false" customHeight="true" outlineLevel="0" collapsed="false">
      <c r="A32" s="26" t="s">
        <v>138</v>
      </c>
      <c r="B32" s="27" t="s">
        <v>29</v>
      </c>
      <c r="C32" s="28"/>
      <c r="D32" s="28"/>
      <c r="E32" s="29" t="str">
        <f aca="false">IF(AND(C32&lt;&gt;"",D32&lt;&gt;""),IF(D32&gt;=C32,ROUND((D32-C32)*24,2),ROUND((D32-C32+1)*24,2)),"")</f>
        <v/>
      </c>
      <c r="F32" s="30" t="str">
        <f aca="false">IF(E32&lt;&gt;"",ROUND(E32*$I$2,0),"")</f>
        <v/>
      </c>
      <c r="G32" s="31"/>
      <c r="H32" s="32"/>
      <c r="I32" s="30"/>
      <c r="J32" s="31"/>
      <c r="K32" s="30"/>
      <c r="L32" s="32"/>
      <c r="M32" s="30"/>
      <c r="N32" s="31"/>
      <c r="O32" s="30"/>
    </row>
    <row r="33" customFormat="false" ht="18.75" hidden="false" customHeight="true" outlineLevel="0" collapsed="false">
      <c r="A33" s="9" t="s">
        <v>139</v>
      </c>
      <c r="B33" s="10" t="s">
        <v>31</v>
      </c>
      <c r="C33" s="11"/>
      <c r="D33" s="11"/>
      <c r="E33" s="12" t="str">
        <f aca="false">IF(AND(C33&lt;&gt;"",D33&lt;&gt;""),IF(D33&gt;=C33,ROUND((D33-C33)*24,2),ROUND((D33-C33+1)*24,2)),"")</f>
        <v/>
      </c>
      <c r="F33" s="13" t="str">
        <f aca="false">IF(E33&lt;&gt;"",ROUND(E33*$I$2,0),"")</f>
        <v/>
      </c>
      <c r="G33" s="14"/>
      <c r="H33" s="15"/>
      <c r="I33" s="16"/>
      <c r="J33" s="14"/>
      <c r="K33" s="16"/>
      <c r="L33" s="15"/>
      <c r="M33" s="17"/>
      <c r="N33" s="18"/>
      <c r="O33" s="17"/>
    </row>
    <row r="34" customFormat="false" ht="18.75" hidden="false" customHeight="true" outlineLevel="0" collapsed="false">
      <c r="A34" s="9" t="s">
        <v>140</v>
      </c>
      <c r="B34" s="10" t="s">
        <v>33</v>
      </c>
      <c r="C34" s="11"/>
      <c r="D34" s="11"/>
      <c r="E34" s="12" t="str">
        <f aca="false">IF(AND(C34&lt;&gt;"",D34&lt;&gt;""),IF(D34&gt;=C34,ROUND((D34-C34)*24,2),ROUND((D34-C34+1)*24,2)),"")</f>
        <v/>
      </c>
      <c r="F34" s="13" t="str">
        <f aca="false">IF(E34&lt;&gt;"",ROUND(E34*$I$2,0),"")</f>
        <v/>
      </c>
      <c r="G34" s="14"/>
      <c r="H34" s="15"/>
      <c r="I34" s="16"/>
      <c r="J34" s="14"/>
      <c r="K34" s="16"/>
      <c r="L34" s="15"/>
      <c r="M34" s="17"/>
      <c r="N34" s="18"/>
      <c r="O34" s="17"/>
    </row>
    <row r="35" customFormat="false" ht="3.75" hidden="false" customHeight="true" outlineLevel="0" collapsed="false"/>
    <row r="36" customFormat="false" ht="25.5" hidden="false" customHeight="true" outlineLevel="0" collapsed="false">
      <c r="A36" s="33" t="s">
        <v>60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 customFormat="false" ht="22.5" hidden="false" customHeight="true" outlineLevel="0" collapsed="false">
      <c r="A37" s="34" t="s">
        <v>61</v>
      </c>
      <c r="B37" s="34"/>
      <c r="C37" s="34"/>
      <c r="D37" s="34"/>
      <c r="E37" s="34"/>
      <c r="F37" s="35" t="n">
        <f aca="false">COUNT(E4:E34)</f>
        <v>0</v>
      </c>
      <c r="G37" s="35"/>
      <c r="H37" s="35"/>
      <c r="I37" s="35"/>
      <c r="J37" s="35"/>
      <c r="K37" s="35"/>
      <c r="L37" s="35"/>
      <c r="M37" s="35"/>
      <c r="N37" s="35"/>
      <c r="O37" s="35"/>
    </row>
    <row r="38" customFormat="false" ht="22.5" hidden="false" customHeight="true" outlineLevel="0" collapsed="false">
      <c r="A38" s="36" t="s">
        <v>62</v>
      </c>
      <c r="B38" s="36"/>
      <c r="C38" s="36"/>
      <c r="D38" s="36"/>
      <c r="E38" s="36"/>
      <c r="F38" s="37" t="n">
        <f aca="false">SUM(E4:E34)</f>
        <v>0</v>
      </c>
      <c r="G38" s="37"/>
      <c r="H38" s="37"/>
      <c r="I38" s="37"/>
      <c r="J38" s="37"/>
      <c r="K38" s="37"/>
      <c r="L38" s="37"/>
      <c r="M38" s="37"/>
      <c r="N38" s="37"/>
      <c r="O38" s="37"/>
    </row>
    <row r="39" customFormat="false" ht="22.5" hidden="false" customHeight="true" outlineLevel="0" collapsed="false">
      <c r="A39" s="38" t="s">
        <v>63</v>
      </c>
      <c r="B39" s="38"/>
      <c r="C39" s="38"/>
      <c r="D39" s="38"/>
      <c r="E39" s="38"/>
      <c r="F39" s="39" t="n">
        <f aca="false">SUM(F4:F34)</f>
        <v>0</v>
      </c>
      <c r="G39" s="39"/>
      <c r="H39" s="39"/>
      <c r="I39" s="39"/>
      <c r="J39" s="39"/>
      <c r="K39" s="39"/>
      <c r="L39" s="39"/>
      <c r="M39" s="39"/>
      <c r="N39" s="39"/>
      <c r="O39" s="39"/>
    </row>
    <row r="40" customFormat="false" ht="22.5" hidden="false" customHeight="true" outlineLevel="0" collapsed="false">
      <c r="A40" s="36" t="s">
        <v>64</v>
      </c>
      <c r="B40" s="36"/>
      <c r="C40" s="36"/>
      <c r="D40" s="36"/>
      <c r="E40" s="36"/>
      <c r="F40" s="40" t="n">
        <f aca="false">IF(F39=0,0,IFERROR(VLOOKUP(F39,税額表!$A$2:$B$74,2,TRUE()),0))</f>
        <v>0</v>
      </c>
      <c r="G40" s="40"/>
      <c r="H40" s="40"/>
      <c r="I40" s="40"/>
      <c r="J40" s="40"/>
      <c r="K40" s="40"/>
      <c r="L40" s="40"/>
      <c r="M40" s="40"/>
      <c r="N40" s="40"/>
      <c r="O40" s="40"/>
    </row>
    <row r="41" customFormat="false" ht="22.5" hidden="false" customHeight="true" outlineLevel="0" collapsed="false">
      <c r="A41" s="38" t="s">
        <v>65</v>
      </c>
      <c r="B41" s="38"/>
      <c r="C41" s="38"/>
      <c r="D41" s="38"/>
      <c r="E41" s="38"/>
      <c r="F41" s="39" t="n">
        <f aca="false">F39-F40</f>
        <v>0</v>
      </c>
      <c r="G41" s="39"/>
      <c r="H41" s="39"/>
      <c r="I41" s="39"/>
      <c r="J41" s="39"/>
      <c r="K41" s="39"/>
      <c r="L41" s="39"/>
      <c r="M41" s="39"/>
      <c r="N41" s="39"/>
      <c r="O41" s="39"/>
    </row>
    <row r="42" customFormat="false" ht="22.5" hidden="false" customHeight="true" outlineLevel="0" collapsed="false">
      <c r="A42" s="36" t="s">
        <v>66</v>
      </c>
      <c r="B42" s="36"/>
      <c r="C42" s="36"/>
      <c r="D42" s="36"/>
      <c r="E42" s="36"/>
      <c r="F42" s="40" t="n">
        <f aca="false">SUM(I4:I34)</f>
        <v>0</v>
      </c>
      <c r="G42" s="40"/>
      <c r="H42" s="40"/>
      <c r="I42" s="40"/>
      <c r="J42" s="40"/>
      <c r="K42" s="40"/>
      <c r="L42" s="40"/>
      <c r="M42" s="40"/>
      <c r="N42" s="40"/>
      <c r="O42" s="40"/>
    </row>
    <row r="43" customFormat="false" ht="22.5" hidden="false" customHeight="true" outlineLevel="0" collapsed="false">
      <c r="A43" s="36" t="s">
        <v>67</v>
      </c>
      <c r="B43" s="36"/>
      <c r="C43" s="36"/>
      <c r="D43" s="36"/>
      <c r="E43" s="36"/>
      <c r="F43" s="40" t="n">
        <f aca="false">SUMIF(L4:L34,"現金",K4:K34)+SUMIF(L4:L34,"個人カード",K4:K34)</f>
        <v>0</v>
      </c>
      <c r="G43" s="40"/>
      <c r="H43" s="40"/>
      <c r="I43" s="40"/>
      <c r="J43" s="40"/>
      <c r="K43" s="40"/>
      <c r="L43" s="40"/>
      <c r="M43" s="40"/>
      <c r="N43" s="40"/>
      <c r="O43" s="40"/>
    </row>
    <row r="44" customFormat="false" ht="22.5" hidden="false" customHeight="true" outlineLevel="0" collapsed="false">
      <c r="A44" s="41" t="s">
        <v>68</v>
      </c>
      <c r="B44" s="41"/>
      <c r="C44" s="41"/>
      <c r="D44" s="41"/>
      <c r="E44" s="41"/>
      <c r="F44" s="42" t="n">
        <f aca="false">SUM(M4:M34)</f>
        <v>0</v>
      </c>
      <c r="G44" s="42"/>
      <c r="H44" s="42"/>
      <c r="I44" s="42"/>
      <c r="J44" s="42"/>
      <c r="K44" s="42"/>
      <c r="L44" s="42"/>
      <c r="M44" s="42"/>
      <c r="N44" s="42"/>
      <c r="O44" s="42"/>
    </row>
    <row r="45" customFormat="false" ht="22.5" hidden="false" customHeight="true" outlineLevel="0" collapsed="false">
      <c r="A45" s="41" t="s">
        <v>69</v>
      </c>
      <c r="B45" s="41"/>
      <c r="C45" s="41"/>
      <c r="D45" s="41"/>
      <c r="E45" s="41"/>
      <c r="F45" s="42" t="n">
        <f aca="false">SUM(O4:O34)</f>
        <v>0</v>
      </c>
      <c r="G45" s="42"/>
      <c r="H45" s="42"/>
      <c r="I45" s="42"/>
      <c r="J45" s="42"/>
      <c r="K45" s="42"/>
      <c r="L45" s="42"/>
      <c r="M45" s="42"/>
      <c r="N45" s="42"/>
      <c r="O45" s="42"/>
    </row>
    <row r="46" customFormat="false" ht="22.5" hidden="false" customHeight="true" outlineLevel="0" collapsed="false">
      <c r="A46" s="43" t="s">
        <v>70</v>
      </c>
      <c r="B46" s="43"/>
      <c r="C46" s="43"/>
      <c r="D46" s="43"/>
      <c r="E46" s="43"/>
      <c r="F46" s="44" t="n">
        <f aca="false">'2月'!F40</f>
        <v>0</v>
      </c>
      <c r="G46" s="44"/>
      <c r="H46" s="44"/>
      <c r="I46" s="44"/>
      <c r="J46" s="44"/>
      <c r="K46" s="44"/>
      <c r="L46" s="44"/>
      <c r="M46" s="44"/>
      <c r="N46" s="44"/>
      <c r="O46" s="44"/>
    </row>
    <row r="47" customFormat="false" ht="22.5" hidden="false" customHeight="true" outlineLevel="0" collapsed="false">
      <c r="A47" s="45" t="s">
        <v>71</v>
      </c>
      <c r="B47" s="45"/>
      <c r="C47" s="45"/>
      <c r="D47" s="45"/>
      <c r="E47" s="45"/>
      <c r="F47" s="46" t="n">
        <f aca="false">F41+F42+F43+F44+F45+F46</f>
        <v>0</v>
      </c>
      <c r="G47" s="46"/>
      <c r="H47" s="46"/>
      <c r="I47" s="46"/>
      <c r="J47" s="46"/>
      <c r="K47" s="46"/>
      <c r="L47" s="46"/>
      <c r="M47" s="46"/>
      <c r="N47" s="46"/>
      <c r="O47" s="46"/>
    </row>
    <row r="49" customFormat="false" ht="13.5" hidden="false" customHeight="true" outlineLevel="0" collapsed="false">
      <c r="A49" s="47" t="s">
        <v>72</v>
      </c>
      <c r="B49" s="47"/>
      <c r="C49" s="48" t="s">
        <v>73</v>
      </c>
      <c r="D49" s="48"/>
      <c r="E49" s="49" t="s">
        <v>74</v>
      </c>
      <c r="F49" s="49"/>
      <c r="G49" s="50" t="s">
        <v>75</v>
      </c>
      <c r="H49" s="50"/>
      <c r="I49" s="51" t="s">
        <v>76</v>
      </c>
      <c r="J49" s="51"/>
      <c r="K49" s="52" t="s">
        <v>108</v>
      </c>
      <c r="L49" s="52"/>
    </row>
    <row r="50" customFormat="false" ht="30" hidden="false" customHeight="true" outlineLevel="0" collapsed="false">
      <c r="A50" s="53" t="s">
        <v>78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</row>
  </sheetData>
  <mergeCells count="36">
    <mergeCell ref="A1:O1"/>
    <mergeCell ref="A2:B2"/>
    <mergeCell ref="C2:F2"/>
    <mergeCell ref="G2:H2"/>
    <mergeCell ref="I2:K2"/>
    <mergeCell ref="L2:O2"/>
    <mergeCell ref="A36:O36"/>
    <mergeCell ref="A37:E37"/>
    <mergeCell ref="F37:O37"/>
    <mergeCell ref="A38:E38"/>
    <mergeCell ref="F38:O38"/>
    <mergeCell ref="A39:E39"/>
    <mergeCell ref="F39:O39"/>
    <mergeCell ref="A40:E40"/>
    <mergeCell ref="F40:O40"/>
    <mergeCell ref="A41:E41"/>
    <mergeCell ref="F41:O41"/>
    <mergeCell ref="A42:E42"/>
    <mergeCell ref="F42:O42"/>
    <mergeCell ref="A43:E43"/>
    <mergeCell ref="F43:O43"/>
    <mergeCell ref="A44:E44"/>
    <mergeCell ref="F44:O44"/>
    <mergeCell ref="A45:E45"/>
    <mergeCell ref="F45:O45"/>
    <mergeCell ref="A46:E46"/>
    <mergeCell ref="F46:O46"/>
    <mergeCell ref="A47:E47"/>
    <mergeCell ref="F47:O47"/>
    <mergeCell ref="A49:B49"/>
    <mergeCell ref="C49:D49"/>
    <mergeCell ref="E49:F49"/>
    <mergeCell ref="G49:H49"/>
    <mergeCell ref="I49:J49"/>
    <mergeCell ref="K49:L49"/>
    <mergeCell ref="A50:O50"/>
  </mergeCells>
  <dataValidations count="1">
    <dataValidation allowBlank="true" errorStyle="stop" operator="between" showDropDown="false" showErrorMessage="false" showInputMessage="false" sqref="L4:L34" type="list">
      <formula1>"現金,個人カード,法人カード"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pane xSplit="0" ySplit="3" topLeftCell="G4" activePane="bottomLeft" state="frozen"/>
      <selection pane="topLeft" activeCell="G1" activeCellId="0" sqref="G1"/>
      <selection pane="bottomLeft" activeCell="Q31" activeCellId="0" sqref="Q31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6.82"/>
    <col collapsed="false" customWidth="true" hidden="false" outlineLevel="0" max="2" min="2" style="0" width="3.81"/>
    <col collapsed="false" customWidth="true" hidden="false" outlineLevel="0" max="4" min="3" style="0" width="11.04"/>
    <col collapsed="false" customWidth="true" hidden="false" outlineLevel="0" max="5" min="5" style="0" width="8.99"/>
    <col collapsed="false" customWidth="true" hidden="false" outlineLevel="0" max="6" min="6" style="0" width="11.04"/>
    <col collapsed="false" customWidth="true" hidden="false" outlineLevel="0" max="7" min="7" style="0" width="14.04"/>
    <col collapsed="false" customWidth="true" hidden="false" outlineLevel="0" max="9" min="8" style="0" width="11.04"/>
    <col collapsed="false" customWidth="true" hidden="false" outlineLevel="0" max="10" min="10" style="0" width="17.99"/>
    <col collapsed="false" customWidth="true" hidden="false" outlineLevel="0" max="11" min="11" style="0" width="12.81"/>
    <col collapsed="false" customWidth="true" hidden="false" outlineLevel="0" max="12" min="12" style="0" width="11.99"/>
    <col collapsed="false" customWidth="true" hidden="false" outlineLevel="0" max="13" min="13" style="0" width="9.82"/>
    <col collapsed="false" customWidth="true" hidden="false" outlineLevel="0" max="14" min="14" style="0" width="15.81"/>
    <col collapsed="false" customWidth="true" hidden="false" outlineLevel="0" max="15" min="15" style="0" width="12.81"/>
  </cols>
  <sheetData>
    <row r="1" customFormat="false" ht="36" hidden="false" customHeight="true" outlineLevel="0" collapsed="false">
      <c r="A1" s="2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4" hidden="false" customHeight="true" outlineLevel="0" collapsed="false">
      <c r="A2" s="3" t="s">
        <v>3</v>
      </c>
      <c r="B2" s="3"/>
      <c r="C2" s="4" t="s">
        <v>4</v>
      </c>
      <c r="D2" s="4"/>
      <c r="E2" s="4"/>
      <c r="F2" s="4"/>
      <c r="G2" s="3" t="s">
        <v>5</v>
      </c>
      <c r="H2" s="3"/>
      <c r="I2" s="5" t="n">
        <v>1300</v>
      </c>
      <c r="J2" s="5"/>
      <c r="K2" s="5"/>
      <c r="L2" s="6" t="s">
        <v>6</v>
      </c>
      <c r="M2" s="6"/>
      <c r="N2" s="6"/>
      <c r="O2" s="6"/>
    </row>
    <row r="3" customFormat="false" ht="42" hidden="false" customHeight="true" outlineLevel="0" collapsed="false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8" t="s">
        <v>19</v>
      </c>
      <c r="N3" s="8" t="s">
        <v>20</v>
      </c>
      <c r="O3" s="8" t="s">
        <v>21</v>
      </c>
    </row>
    <row r="4" customFormat="false" ht="18.75" hidden="false" customHeight="true" outlineLevel="0" collapsed="false">
      <c r="A4" s="9" t="s">
        <v>142</v>
      </c>
      <c r="B4" s="10" t="s">
        <v>35</v>
      </c>
      <c r="C4" s="11"/>
      <c r="D4" s="11"/>
      <c r="E4" s="12" t="str">
        <f aca="false">IF(AND(C4&lt;&gt;"",D4&lt;&gt;""),IF(D4&gt;=C4,ROUND((D4-C4)*24,2),ROUND((D4-C4+1)*24,2)),"")</f>
        <v/>
      </c>
      <c r="F4" s="13" t="str">
        <f aca="false">IF(E4&lt;&gt;"",ROUND(E4*$I$2,0),"")</f>
        <v/>
      </c>
      <c r="G4" s="14"/>
      <c r="H4" s="15"/>
      <c r="I4" s="16"/>
      <c r="J4" s="14"/>
      <c r="K4" s="16"/>
      <c r="L4" s="15"/>
      <c r="M4" s="17"/>
      <c r="N4" s="18"/>
      <c r="O4" s="17"/>
    </row>
    <row r="5" customFormat="false" ht="18.75" hidden="false" customHeight="true" outlineLevel="0" collapsed="false">
      <c r="A5" s="9" t="s">
        <v>143</v>
      </c>
      <c r="B5" s="10" t="s">
        <v>23</v>
      </c>
      <c r="C5" s="11"/>
      <c r="D5" s="11"/>
      <c r="E5" s="12" t="str">
        <f aca="false">IF(AND(C5&lt;&gt;"",D5&lt;&gt;""),IF(D5&gt;=C5,ROUND((D5-C5)*24,2),ROUND((D5-C5+1)*24,2)),"")</f>
        <v/>
      </c>
      <c r="F5" s="13" t="str">
        <f aca="false">IF(E5&lt;&gt;"",ROUND(E5*$I$2,0),"")</f>
        <v/>
      </c>
      <c r="G5" s="14"/>
      <c r="H5" s="15"/>
      <c r="I5" s="16"/>
      <c r="J5" s="14"/>
      <c r="K5" s="16"/>
      <c r="L5" s="15"/>
      <c r="M5" s="17"/>
      <c r="N5" s="18"/>
      <c r="O5" s="17"/>
    </row>
    <row r="6" customFormat="false" ht="18.75" hidden="false" customHeight="true" outlineLevel="0" collapsed="false">
      <c r="A6" s="9" t="s">
        <v>144</v>
      </c>
      <c r="B6" s="10" t="s">
        <v>25</v>
      </c>
      <c r="C6" s="11"/>
      <c r="D6" s="11"/>
      <c r="E6" s="12" t="str">
        <f aca="false">IF(AND(C6&lt;&gt;"",D6&lt;&gt;""),IF(D6&gt;=C6,ROUND((D6-C6)*24,2),ROUND((D6-C6+1)*24,2)),"")</f>
        <v/>
      </c>
      <c r="F6" s="13" t="str">
        <f aca="false">IF(E6&lt;&gt;"",ROUND(E6*$I$2,0),"")</f>
        <v/>
      </c>
      <c r="G6" s="14"/>
      <c r="H6" s="15"/>
      <c r="I6" s="16"/>
      <c r="J6" s="14"/>
      <c r="K6" s="16"/>
      <c r="L6" s="15"/>
      <c r="M6" s="17"/>
      <c r="N6" s="18"/>
      <c r="O6" s="17"/>
    </row>
    <row r="7" customFormat="false" ht="18.75" hidden="false" customHeight="true" outlineLevel="0" collapsed="false">
      <c r="A7" s="19" t="s">
        <v>145</v>
      </c>
      <c r="B7" s="20" t="s">
        <v>27</v>
      </c>
      <c r="C7" s="21"/>
      <c r="D7" s="21"/>
      <c r="E7" s="22" t="str">
        <f aca="false">IF(AND(C7&lt;&gt;"",D7&lt;&gt;""),IF(D7&gt;=C7,ROUND((D7-C7)*24,2),ROUND((D7-C7+1)*24,2)),"")</f>
        <v/>
      </c>
      <c r="F7" s="23" t="str">
        <f aca="false">IF(E7&lt;&gt;"",ROUND(E7*$I$2,0),"")</f>
        <v/>
      </c>
      <c r="G7" s="24"/>
      <c r="H7" s="25"/>
      <c r="I7" s="23"/>
      <c r="J7" s="24"/>
      <c r="K7" s="23"/>
      <c r="L7" s="25"/>
      <c r="M7" s="23"/>
      <c r="N7" s="24"/>
      <c r="O7" s="23"/>
    </row>
    <row r="8" customFormat="false" ht="18.75" hidden="false" customHeight="true" outlineLevel="0" collapsed="false">
      <c r="A8" s="26" t="s">
        <v>146</v>
      </c>
      <c r="B8" s="27" t="s">
        <v>29</v>
      </c>
      <c r="C8" s="28"/>
      <c r="D8" s="28"/>
      <c r="E8" s="29" t="str">
        <f aca="false">IF(AND(C8&lt;&gt;"",D8&lt;&gt;""),IF(D8&gt;=C8,ROUND((D8-C8)*24,2),ROUND((D8-C8+1)*24,2)),"")</f>
        <v/>
      </c>
      <c r="F8" s="30" t="str">
        <f aca="false">IF(E8&lt;&gt;"",ROUND(E8*$I$2,0),"")</f>
        <v/>
      </c>
      <c r="G8" s="31"/>
      <c r="H8" s="32"/>
      <c r="I8" s="30"/>
      <c r="J8" s="31"/>
      <c r="K8" s="30"/>
      <c r="L8" s="32"/>
      <c r="M8" s="30"/>
      <c r="N8" s="31"/>
      <c r="O8" s="30"/>
    </row>
    <row r="9" customFormat="false" ht="18.75" hidden="false" customHeight="true" outlineLevel="0" collapsed="false">
      <c r="A9" s="9" t="s">
        <v>147</v>
      </c>
      <c r="B9" s="10" t="s">
        <v>31</v>
      </c>
      <c r="C9" s="11"/>
      <c r="D9" s="11"/>
      <c r="E9" s="12" t="str">
        <f aca="false">IF(AND(C9&lt;&gt;"",D9&lt;&gt;""),IF(D9&gt;=C9,ROUND((D9-C9)*24,2),ROUND((D9-C9+1)*24,2)),"")</f>
        <v/>
      </c>
      <c r="F9" s="13" t="str">
        <f aca="false">IF(E9&lt;&gt;"",ROUND(E9*$I$2,0),"")</f>
        <v/>
      </c>
      <c r="G9" s="14"/>
      <c r="H9" s="15"/>
      <c r="I9" s="16"/>
      <c r="J9" s="14"/>
      <c r="K9" s="16"/>
      <c r="L9" s="15"/>
      <c r="M9" s="17"/>
      <c r="N9" s="18"/>
      <c r="O9" s="17"/>
    </row>
    <row r="10" customFormat="false" ht="18.75" hidden="false" customHeight="true" outlineLevel="0" collapsed="false">
      <c r="A10" s="9" t="s">
        <v>148</v>
      </c>
      <c r="B10" s="10" t="s">
        <v>33</v>
      </c>
      <c r="C10" s="11"/>
      <c r="D10" s="11"/>
      <c r="E10" s="12" t="str">
        <f aca="false">IF(AND(C10&lt;&gt;"",D10&lt;&gt;""),IF(D10&gt;=C10,ROUND((D10-C10)*24,2),ROUND((D10-C10+1)*24,2)),"")</f>
        <v/>
      </c>
      <c r="F10" s="13" t="str">
        <f aca="false">IF(E10&lt;&gt;"",ROUND(E10*$I$2,0),"")</f>
        <v/>
      </c>
      <c r="G10" s="14"/>
      <c r="H10" s="15"/>
      <c r="I10" s="16"/>
      <c r="J10" s="14"/>
      <c r="K10" s="16"/>
      <c r="L10" s="15"/>
      <c r="M10" s="17"/>
      <c r="N10" s="18"/>
      <c r="O10" s="17"/>
    </row>
    <row r="11" customFormat="false" ht="18.75" hidden="false" customHeight="true" outlineLevel="0" collapsed="false">
      <c r="A11" s="9" t="s">
        <v>149</v>
      </c>
      <c r="B11" s="10" t="s">
        <v>35</v>
      </c>
      <c r="C11" s="11"/>
      <c r="D11" s="11"/>
      <c r="E11" s="12" t="str">
        <f aca="false">IF(AND(C11&lt;&gt;"",D11&lt;&gt;""),IF(D11&gt;=C11,ROUND((D11-C11)*24,2),ROUND((D11-C11+1)*24,2)),"")</f>
        <v/>
      </c>
      <c r="F11" s="13" t="str">
        <f aca="false">IF(E11&lt;&gt;"",ROUND(E11*$I$2,0),"")</f>
        <v/>
      </c>
      <c r="G11" s="14"/>
      <c r="H11" s="15"/>
      <c r="I11" s="16"/>
      <c r="J11" s="14"/>
      <c r="K11" s="16"/>
      <c r="L11" s="15"/>
      <c r="M11" s="17"/>
      <c r="N11" s="18"/>
      <c r="O11" s="17"/>
    </row>
    <row r="12" customFormat="false" ht="18.75" hidden="false" customHeight="true" outlineLevel="0" collapsed="false">
      <c r="A12" s="9" t="s">
        <v>150</v>
      </c>
      <c r="B12" s="10" t="s">
        <v>23</v>
      </c>
      <c r="C12" s="11"/>
      <c r="D12" s="11"/>
      <c r="E12" s="12" t="str">
        <f aca="false">IF(AND(C12&lt;&gt;"",D12&lt;&gt;""),IF(D12&gt;=C12,ROUND((D12-C12)*24,2),ROUND((D12-C12+1)*24,2)),"")</f>
        <v/>
      </c>
      <c r="F12" s="13" t="str">
        <f aca="false">IF(E12&lt;&gt;"",ROUND(E12*$I$2,0),"")</f>
        <v/>
      </c>
      <c r="G12" s="14"/>
      <c r="H12" s="15"/>
      <c r="I12" s="16"/>
      <c r="J12" s="14"/>
      <c r="K12" s="16"/>
      <c r="L12" s="15"/>
      <c r="M12" s="17"/>
      <c r="N12" s="18"/>
      <c r="O12" s="17"/>
    </row>
    <row r="13" customFormat="false" ht="18.75" hidden="false" customHeight="true" outlineLevel="0" collapsed="false">
      <c r="A13" s="9" t="s">
        <v>151</v>
      </c>
      <c r="B13" s="10" t="s">
        <v>25</v>
      </c>
      <c r="C13" s="11"/>
      <c r="D13" s="11"/>
      <c r="E13" s="12" t="str">
        <f aca="false">IF(AND(C13&lt;&gt;"",D13&lt;&gt;""),IF(D13&gt;=C13,ROUND((D13-C13)*24,2),ROUND((D13-C13+1)*24,2)),"")</f>
        <v/>
      </c>
      <c r="F13" s="13" t="str">
        <f aca="false">IF(E13&lt;&gt;"",ROUND(E13*$I$2,0),"")</f>
        <v/>
      </c>
      <c r="G13" s="14"/>
      <c r="H13" s="15"/>
      <c r="I13" s="16"/>
      <c r="J13" s="14"/>
      <c r="K13" s="16"/>
      <c r="L13" s="15"/>
      <c r="M13" s="17"/>
      <c r="N13" s="18"/>
      <c r="O13" s="17"/>
    </row>
    <row r="14" customFormat="false" ht="18.75" hidden="false" customHeight="true" outlineLevel="0" collapsed="false">
      <c r="A14" s="19" t="s">
        <v>152</v>
      </c>
      <c r="B14" s="20" t="s">
        <v>27</v>
      </c>
      <c r="C14" s="21"/>
      <c r="D14" s="21"/>
      <c r="E14" s="22" t="str">
        <f aca="false">IF(AND(C14&lt;&gt;"",D14&lt;&gt;""),IF(D14&gt;=C14,ROUND((D14-C14)*24,2),ROUND((D14-C14+1)*24,2)),"")</f>
        <v/>
      </c>
      <c r="F14" s="23" t="str">
        <f aca="false">IF(E14&lt;&gt;"",ROUND(E14*$I$2,0),"")</f>
        <v/>
      </c>
      <c r="G14" s="24"/>
      <c r="H14" s="25"/>
      <c r="I14" s="23"/>
      <c r="J14" s="24"/>
      <c r="K14" s="23"/>
      <c r="L14" s="25"/>
      <c r="M14" s="23"/>
      <c r="N14" s="24"/>
      <c r="O14" s="23"/>
    </row>
    <row r="15" customFormat="false" ht="18.75" hidden="false" customHeight="true" outlineLevel="0" collapsed="false">
      <c r="A15" s="26" t="s">
        <v>153</v>
      </c>
      <c r="B15" s="27" t="s">
        <v>29</v>
      </c>
      <c r="C15" s="28"/>
      <c r="D15" s="28"/>
      <c r="E15" s="29" t="str">
        <f aca="false">IF(AND(C15&lt;&gt;"",D15&lt;&gt;""),IF(D15&gt;=C15,ROUND((D15-C15)*24,2),ROUND((D15-C15+1)*24,2)),"")</f>
        <v/>
      </c>
      <c r="F15" s="30" t="str">
        <f aca="false">IF(E15&lt;&gt;"",ROUND(E15*$I$2,0),"")</f>
        <v/>
      </c>
      <c r="G15" s="31"/>
      <c r="H15" s="32"/>
      <c r="I15" s="30"/>
      <c r="J15" s="31"/>
      <c r="K15" s="30"/>
      <c r="L15" s="32"/>
      <c r="M15" s="30"/>
      <c r="N15" s="31"/>
      <c r="O15" s="30"/>
    </row>
    <row r="16" customFormat="false" ht="18.75" hidden="false" customHeight="true" outlineLevel="0" collapsed="false">
      <c r="A16" s="9" t="s">
        <v>154</v>
      </c>
      <c r="B16" s="10" t="s">
        <v>31</v>
      </c>
      <c r="C16" s="11"/>
      <c r="D16" s="11"/>
      <c r="E16" s="12" t="str">
        <f aca="false">IF(AND(C16&lt;&gt;"",D16&lt;&gt;""),IF(D16&gt;=C16,ROUND((D16-C16)*24,2),ROUND((D16-C16+1)*24,2)),"")</f>
        <v/>
      </c>
      <c r="F16" s="13" t="str">
        <f aca="false">IF(E16&lt;&gt;"",ROUND(E16*$I$2,0),"")</f>
        <v/>
      </c>
      <c r="G16" s="14"/>
      <c r="H16" s="15"/>
      <c r="I16" s="16"/>
      <c r="J16" s="14"/>
      <c r="K16" s="16"/>
      <c r="L16" s="15"/>
      <c r="M16" s="17"/>
      <c r="N16" s="18"/>
      <c r="O16" s="17"/>
    </row>
    <row r="17" customFormat="false" ht="18.75" hidden="false" customHeight="true" outlineLevel="0" collapsed="false">
      <c r="A17" s="9" t="s">
        <v>155</v>
      </c>
      <c r="B17" s="10" t="s">
        <v>33</v>
      </c>
      <c r="C17" s="11"/>
      <c r="D17" s="11"/>
      <c r="E17" s="12" t="str">
        <f aca="false">IF(AND(C17&lt;&gt;"",D17&lt;&gt;""),IF(D17&gt;=C17,ROUND((D17-C17)*24,2),ROUND((D17-C17+1)*24,2)),"")</f>
        <v/>
      </c>
      <c r="F17" s="13" t="str">
        <f aca="false">IF(E17&lt;&gt;"",ROUND(E17*$I$2,0),"")</f>
        <v/>
      </c>
      <c r="G17" s="14"/>
      <c r="H17" s="15"/>
      <c r="I17" s="16"/>
      <c r="J17" s="14"/>
      <c r="K17" s="16"/>
      <c r="L17" s="15"/>
      <c r="M17" s="17"/>
      <c r="N17" s="18"/>
      <c r="O17" s="17"/>
    </row>
    <row r="18" customFormat="false" ht="18.75" hidden="false" customHeight="true" outlineLevel="0" collapsed="false">
      <c r="A18" s="9" t="s">
        <v>156</v>
      </c>
      <c r="B18" s="10" t="s">
        <v>35</v>
      </c>
      <c r="C18" s="11"/>
      <c r="D18" s="11"/>
      <c r="E18" s="12" t="str">
        <f aca="false">IF(AND(C18&lt;&gt;"",D18&lt;&gt;""),IF(D18&gt;=C18,ROUND((D18-C18)*24,2),ROUND((D18-C18+1)*24,2)),"")</f>
        <v/>
      </c>
      <c r="F18" s="13" t="str">
        <f aca="false">IF(E18&lt;&gt;"",ROUND(E18*$I$2,0),"")</f>
        <v/>
      </c>
      <c r="G18" s="14"/>
      <c r="H18" s="15"/>
      <c r="I18" s="16"/>
      <c r="J18" s="14"/>
      <c r="K18" s="16"/>
      <c r="L18" s="15"/>
      <c r="M18" s="17"/>
      <c r="N18" s="18"/>
      <c r="O18" s="17"/>
    </row>
    <row r="19" customFormat="false" ht="18.75" hidden="false" customHeight="true" outlineLevel="0" collapsed="false">
      <c r="A19" s="9" t="s">
        <v>157</v>
      </c>
      <c r="B19" s="10" t="s">
        <v>23</v>
      </c>
      <c r="C19" s="11"/>
      <c r="D19" s="11"/>
      <c r="E19" s="12" t="str">
        <f aca="false">IF(AND(C19&lt;&gt;"",D19&lt;&gt;""),IF(D19&gt;=C19,ROUND((D19-C19)*24,2),ROUND((D19-C19+1)*24,2)),"")</f>
        <v/>
      </c>
      <c r="F19" s="13" t="str">
        <f aca="false">IF(E19&lt;&gt;"",ROUND(E19*$I$2,0),"")</f>
        <v/>
      </c>
      <c r="G19" s="14"/>
      <c r="H19" s="15"/>
      <c r="I19" s="16"/>
      <c r="J19" s="14"/>
      <c r="K19" s="16"/>
      <c r="L19" s="15"/>
      <c r="M19" s="17"/>
      <c r="N19" s="18"/>
      <c r="O19" s="17"/>
    </row>
    <row r="20" customFormat="false" ht="18.75" hidden="false" customHeight="true" outlineLevel="0" collapsed="false">
      <c r="A20" s="9" t="s">
        <v>158</v>
      </c>
      <c r="B20" s="10" t="s">
        <v>25</v>
      </c>
      <c r="C20" s="11"/>
      <c r="D20" s="11"/>
      <c r="E20" s="12" t="str">
        <f aca="false">IF(AND(C20&lt;&gt;"",D20&lt;&gt;""),IF(D20&gt;=C20,ROUND((D20-C20)*24,2),ROUND((D20-C20+1)*24,2)),"")</f>
        <v/>
      </c>
      <c r="F20" s="13" t="str">
        <f aca="false">IF(E20&lt;&gt;"",ROUND(E20*$I$2,0),"")</f>
        <v/>
      </c>
      <c r="G20" s="14"/>
      <c r="H20" s="15"/>
      <c r="I20" s="16"/>
      <c r="J20" s="14"/>
      <c r="K20" s="16"/>
      <c r="L20" s="15"/>
      <c r="M20" s="17"/>
      <c r="N20" s="18"/>
      <c r="O20" s="17"/>
    </row>
    <row r="21" customFormat="false" ht="18.75" hidden="false" customHeight="true" outlineLevel="0" collapsed="false">
      <c r="A21" s="19" t="s">
        <v>159</v>
      </c>
      <c r="B21" s="20" t="s">
        <v>27</v>
      </c>
      <c r="C21" s="21"/>
      <c r="D21" s="21"/>
      <c r="E21" s="22" t="str">
        <f aca="false">IF(AND(C21&lt;&gt;"",D21&lt;&gt;""),IF(D21&gt;=C21,ROUND((D21-C21)*24,2),ROUND((D21-C21+1)*24,2)),"")</f>
        <v/>
      </c>
      <c r="F21" s="23" t="str">
        <f aca="false">IF(E21&lt;&gt;"",ROUND(E21*$I$2,0),"")</f>
        <v/>
      </c>
      <c r="G21" s="24"/>
      <c r="H21" s="25"/>
      <c r="I21" s="23"/>
      <c r="J21" s="24"/>
      <c r="K21" s="23"/>
      <c r="L21" s="25"/>
      <c r="M21" s="23"/>
      <c r="N21" s="24"/>
      <c r="O21" s="23"/>
    </row>
    <row r="22" customFormat="false" ht="18.75" hidden="false" customHeight="true" outlineLevel="0" collapsed="false">
      <c r="A22" s="26" t="s">
        <v>160</v>
      </c>
      <c r="B22" s="27" t="s">
        <v>29</v>
      </c>
      <c r="C22" s="28"/>
      <c r="D22" s="28"/>
      <c r="E22" s="29" t="str">
        <f aca="false">IF(AND(C22&lt;&gt;"",D22&lt;&gt;""),IF(D22&gt;=C22,ROUND((D22-C22)*24,2),ROUND((D22-C22+1)*24,2)),"")</f>
        <v/>
      </c>
      <c r="F22" s="30" t="str">
        <f aca="false">IF(E22&lt;&gt;"",ROUND(E22*$I$2,0),"")</f>
        <v/>
      </c>
      <c r="G22" s="31"/>
      <c r="H22" s="32"/>
      <c r="I22" s="30"/>
      <c r="J22" s="31"/>
      <c r="K22" s="30"/>
      <c r="L22" s="32"/>
      <c r="M22" s="30"/>
      <c r="N22" s="31"/>
      <c r="O22" s="30"/>
    </row>
    <row r="23" customFormat="false" ht="18.75" hidden="false" customHeight="true" outlineLevel="0" collapsed="false">
      <c r="A23" s="9" t="s">
        <v>161</v>
      </c>
      <c r="B23" s="10" t="s">
        <v>31</v>
      </c>
      <c r="C23" s="11"/>
      <c r="D23" s="11"/>
      <c r="E23" s="12" t="str">
        <f aca="false">IF(AND(C23&lt;&gt;"",D23&lt;&gt;""),IF(D23&gt;=C23,ROUND((D23-C23)*24,2),ROUND((D23-C23+1)*24,2)),"")</f>
        <v/>
      </c>
      <c r="F23" s="13" t="str">
        <f aca="false">IF(E23&lt;&gt;"",ROUND(E23*$I$2,0),"")</f>
        <v/>
      </c>
      <c r="G23" s="14"/>
      <c r="H23" s="15"/>
      <c r="I23" s="16"/>
      <c r="J23" s="14"/>
      <c r="K23" s="16"/>
      <c r="L23" s="15"/>
      <c r="M23" s="17"/>
      <c r="N23" s="18"/>
      <c r="O23" s="17"/>
    </row>
    <row r="24" customFormat="false" ht="18.75" hidden="false" customHeight="true" outlineLevel="0" collapsed="false">
      <c r="A24" s="9" t="s">
        <v>162</v>
      </c>
      <c r="B24" s="10" t="s">
        <v>33</v>
      </c>
      <c r="C24" s="11"/>
      <c r="D24" s="11"/>
      <c r="E24" s="12" t="str">
        <f aca="false">IF(AND(C24&lt;&gt;"",D24&lt;&gt;""),IF(D24&gt;=C24,ROUND((D24-C24)*24,2),ROUND((D24-C24+1)*24,2)),"")</f>
        <v/>
      </c>
      <c r="F24" s="13" t="str">
        <f aca="false">IF(E24&lt;&gt;"",ROUND(E24*$I$2,0),"")</f>
        <v/>
      </c>
      <c r="G24" s="14"/>
      <c r="H24" s="15"/>
      <c r="I24" s="16"/>
      <c r="J24" s="14"/>
      <c r="K24" s="16"/>
      <c r="L24" s="15"/>
      <c r="M24" s="17"/>
      <c r="N24" s="18"/>
      <c r="O24" s="17"/>
    </row>
    <row r="25" customFormat="false" ht="18.75" hidden="false" customHeight="true" outlineLevel="0" collapsed="false">
      <c r="A25" s="9" t="s">
        <v>163</v>
      </c>
      <c r="B25" s="10" t="s">
        <v>35</v>
      </c>
      <c r="C25" s="11"/>
      <c r="D25" s="11"/>
      <c r="E25" s="12" t="str">
        <f aca="false">IF(AND(C25&lt;&gt;"",D25&lt;&gt;""),IF(D25&gt;=C25,ROUND((D25-C25)*24,2),ROUND((D25-C25+1)*24,2)),"")</f>
        <v/>
      </c>
      <c r="F25" s="13" t="str">
        <f aca="false">IF(E25&lt;&gt;"",ROUND(E25*$I$2,0),"")</f>
        <v/>
      </c>
      <c r="G25" s="14"/>
      <c r="H25" s="15"/>
      <c r="I25" s="16"/>
      <c r="J25" s="14"/>
      <c r="K25" s="16"/>
      <c r="L25" s="15"/>
      <c r="M25" s="17"/>
      <c r="N25" s="18"/>
      <c r="O25" s="17"/>
    </row>
    <row r="26" customFormat="false" ht="18.75" hidden="false" customHeight="true" outlineLevel="0" collapsed="false">
      <c r="A26" s="9" t="s">
        <v>164</v>
      </c>
      <c r="B26" s="10" t="s">
        <v>23</v>
      </c>
      <c r="C26" s="11"/>
      <c r="D26" s="11"/>
      <c r="E26" s="12" t="str">
        <f aca="false">IF(AND(C26&lt;&gt;"",D26&lt;&gt;""),IF(D26&gt;=C26,ROUND((D26-C26)*24,2),ROUND((D26-C26+1)*24,2)),"")</f>
        <v/>
      </c>
      <c r="F26" s="13" t="str">
        <f aca="false">IF(E26&lt;&gt;"",ROUND(E26*$I$2,0),"")</f>
        <v/>
      </c>
      <c r="G26" s="14"/>
      <c r="H26" s="15"/>
      <c r="I26" s="16"/>
      <c r="J26" s="14"/>
      <c r="K26" s="16"/>
      <c r="L26" s="15"/>
      <c r="M26" s="17"/>
      <c r="N26" s="18"/>
      <c r="O26" s="17"/>
    </row>
    <row r="27" customFormat="false" ht="18.75" hidden="false" customHeight="true" outlineLevel="0" collapsed="false">
      <c r="A27" s="9" t="s">
        <v>165</v>
      </c>
      <c r="B27" s="10" t="s">
        <v>25</v>
      </c>
      <c r="C27" s="11"/>
      <c r="D27" s="11"/>
      <c r="E27" s="12" t="str">
        <f aca="false">IF(AND(C27&lt;&gt;"",D27&lt;&gt;""),IF(D27&gt;=C27,ROUND((D27-C27)*24,2),ROUND((D27-C27+1)*24,2)),"")</f>
        <v/>
      </c>
      <c r="F27" s="13" t="str">
        <f aca="false">IF(E27&lt;&gt;"",ROUND(E27*$I$2,0),"")</f>
        <v/>
      </c>
      <c r="G27" s="14"/>
      <c r="H27" s="15"/>
      <c r="I27" s="16"/>
      <c r="J27" s="14"/>
      <c r="K27" s="16"/>
      <c r="L27" s="15"/>
      <c r="M27" s="17"/>
      <c r="N27" s="18"/>
      <c r="O27" s="17"/>
    </row>
    <row r="28" customFormat="false" ht="18.75" hidden="false" customHeight="true" outlineLevel="0" collapsed="false">
      <c r="A28" s="19" t="s">
        <v>166</v>
      </c>
      <c r="B28" s="20" t="s">
        <v>27</v>
      </c>
      <c r="C28" s="21"/>
      <c r="D28" s="21"/>
      <c r="E28" s="22" t="str">
        <f aca="false">IF(AND(C28&lt;&gt;"",D28&lt;&gt;""),IF(D28&gt;=C28,ROUND((D28-C28)*24,2),ROUND((D28-C28+1)*24,2)),"")</f>
        <v/>
      </c>
      <c r="F28" s="23" t="str">
        <f aca="false">IF(E28&lt;&gt;"",ROUND(E28*$I$2,0),"")</f>
        <v/>
      </c>
      <c r="G28" s="24"/>
      <c r="H28" s="25"/>
      <c r="I28" s="23"/>
      <c r="J28" s="24"/>
      <c r="K28" s="23"/>
      <c r="L28" s="25"/>
      <c r="M28" s="23"/>
      <c r="N28" s="24"/>
      <c r="O28" s="23"/>
    </row>
    <row r="29" customFormat="false" ht="18.75" hidden="false" customHeight="true" outlineLevel="0" collapsed="false">
      <c r="A29" s="26" t="s">
        <v>167</v>
      </c>
      <c r="B29" s="27" t="s">
        <v>29</v>
      </c>
      <c r="C29" s="28"/>
      <c r="D29" s="28"/>
      <c r="E29" s="29" t="str">
        <f aca="false">IF(AND(C29&lt;&gt;"",D29&lt;&gt;""),IF(D29&gt;=C29,ROUND((D29-C29)*24,2),ROUND((D29-C29+1)*24,2)),"")</f>
        <v/>
      </c>
      <c r="F29" s="30" t="str">
        <f aca="false">IF(E29&lt;&gt;"",ROUND(E29*$I$2,0),"")</f>
        <v/>
      </c>
      <c r="G29" s="31"/>
      <c r="H29" s="32"/>
      <c r="I29" s="30"/>
      <c r="J29" s="31"/>
      <c r="K29" s="30"/>
      <c r="L29" s="32"/>
      <c r="M29" s="30"/>
      <c r="N29" s="31"/>
      <c r="O29" s="30"/>
    </row>
    <row r="30" customFormat="false" ht="18.75" hidden="false" customHeight="true" outlineLevel="0" collapsed="false">
      <c r="A30" s="9" t="s">
        <v>168</v>
      </c>
      <c r="B30" s="10" t="s">
        <v>31</v>
      </c>
      <c r="C30" s="11"/>
      <c r="D30" s="11"/>
      <c r="E30" s="12" t="str">
        <f aca="false">IF(AND(C30&lt;&gt;"",D30&lt;&gt;""),IF(D30&gt;=C30,ROUND((D30-C30)*24,2),ROUND((D30-C30+1)*24,2)),"")</f>
        <v/>
      </c>
      <c r="F30" s="13" t="str">
        <f aca="false">IF(E30&lt;&gt;"",ROUND(E30*$I$2,0),"")</f>
        <v/>
      </c>
      <c r="G30" s="14"/>
      <c r="H30" s="15"/>
      <c r="I30" s="16"/>
      <c r="J30" s="14"/>
      <c r="K30" s="16"/>
      <c r="L30" s="15"/>
      <c r="M30" s="17"/>
      <c r="N30" s="18"/>
      <c r="O30" s="17"/>
    </row>
    <row r="31" customFormat="false" ht="18.75" hidden="false" customHeight="true" outlineLevel="0" collapsed="false">
      <c r="A31" s="9" t="s">
        <v>169</v>
      </c>
      <c r="B31" s="10" t="s">
        <v>33</v>
      </c>
      <c r="C31" s="11"/>
      <c r="D31" s="11"/>
      <c r="E31" s="12" t="str">
        <f aca="false">IF(AND(C31&lt;&gt;"",D31&lt;&gt;""),IF(D31&gt;=C31,ROUND((D31-C31)*24,2),ROUND((D31-C31+1)*24,2)),"")</f>
        <v/>
      </c>
      <c r="F31" s="13" t="str">
        <f aca="false">IF(E31&lt;&gt;"",ROUND(E31*$I$2,0),"")</f>
        <v/>
      </c>
      <c r="G31" s="14"/>
      <c r="H31" s="15"/>
      <c r="I31" s="16"/>
      <c r="J31" s="14"/>
      <c r="K31" s="16"/>
      <c r="L31" s="15"/>
      <c r="M31" s="17"/>
      <c r="N31" s="18"/>
      <c r="O31" s="17"/>
    </row>
    <row r="32" customFormat="false" ht="18.75" hidden="false" customHeight="true" outlineLevel="0" collapsed="false">
      <c r="A32" s="9" t="s">
        <v>170</v>
      </c>
      <c r="B32" s="10" t="s">
        <v>35</v>
      </c>
      <c r="C32" s="11"/>
      <c r="D32" s="11"/>
      <c r="E32" s="12" t="str">
        <f aca="false">IF(AND(C32&lt;&gt;"",D32&lt;&gt;""),IF(D32&gt;=C32,ROUND((D32-C32)*24,2),ROUND((D32-C32+1)*24,2)),"")</f>
        <v/>
      </c>
      <c r="F32" s="13" t="str">
        <f aca="false">IF(E32&lt;&gt;"",ROUND(E32*$I$2,0),"")</f>
        <v/>
      </c>
      <c r="G32" s="14"/>
      <c r="H32" s="15"/>
      <c r="I32" s="16"/>
      <c r="J32" s="14"/>
      <c r="K32" s="16"/>
      <c r="L32" s="15"/>
      <c r="M32" s="17"/>
      <c r="N32" s="18"/>
      <c r="O32" s="17"/>
    </row>
    <row r="33" customFormat="false" ht="18.75" hidden="false" customHeight="true" outlineLevel="0" collapsed="false">
      <c r="A33" s="9" t="s">
        <v>171</v>
      </c>
      <c r="B33" s="10" t="s">
        <v>23</v>
      </c>
      <c r="C33" s="11"/>
      <c r="D33" s="11"/>
      <c r="E33" s="12" t="str">
        <f aca="false">IF(AND(C33&lt;&gt;"",D33&lt;&gt;""),IF(D33&gt;=C33,ROUND((D33-C33)*24,2),ROUND((D33-C33+1)*24,2)),"")</f>
        <v/>
      </c>
      <c r="F33" s="13" t="str">
        <f aca="false">IF(E33&lt;&gt;"",ROUND(E33*$I$2,0),"")</f>
        <v/>
      </c>
      <c r="G33" s="14"/>
      <c r="H33" s="15"/>
      <c r="I33" s="16"/>
      <c r="J33" s="14"/>
      <c r="K33" s="16"/>
      <c r="L33" s="15"/>
      <c r="M33" s="17"/>
      <c r="N33" s="18"/>
      <c r="O33" s="17"/>
    </row>
    <row r="34" customFormat="false" ht="3.75" hidden="false" customHeight="true" outlineLevel="0" collapsed="false"/>
    <row r="35" customFormat="false" ht="25.5" hidden="false" customHeight="true" outlineLevel="0" collapsed="false">
      <c r="A35" s="33" t="s">
        <v>60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</row>
    <row r="36" customFormat="false" ht="22.5" hidden="false" customHeight="true" outlineLevel="0" collapsed="false">
      <c r="A36" s="34" t="s">
        <v>61</v>
      </c>
      <c r="B36" s="34"/>
      <c r="C36" s="34"/>
      <c r="D36" s="34"/>
      <c r="E36" s="34"/>
      <c r="F36" s="35" t="n">
        <f aca="false">COUNT(E4:E33)</f>
        <v>0</v>
      </c>
      <c r="G36" s="35"/>
      <c r="H36" s="35"/>
      <c r="I36" s="35"/>
      <c r="J36" s="35"/>
      <c r="K36" s="35"/>
      <c r="L36" s="35"/>
      <c r="M36" s="35"/>
      <c r="N36" s="35"/>
      <c r="O36" s="35"/>
    </row>
    <row r="37" customFormat="false" ht="22.5" hidden="false" customHeight="true" outlineLevel="0" collapsed="false">
      <c r="A37" s="36" t="s">
        <v>62</v>
      </c>
      <c r="B37" s="36"/>
      <c r="C37" s="36"/>
      <c r="D37" s="36"/>
      <c r="E37" s="36"/>
      <c r="F37" s="37" t="n">
        <f aca="false">SUM(E4:E33)</f>
        <v>0</v>
      </c>
      <c r="G37" s="37"/>
      <c r="H37" s="37"/>
      <c r="I37" s="37"/>
      <c r="J37" s="37"/>
      <c r="K37" s="37"/>
      <c r="L37" s="37"/>
      <c r="M37" s="37"/>
      <c r="N37" s="37"/>
      <c r="O37" s="37"/>
    </row>
    <row r="38" customFormat="false" ht="22.5" hidden="false" customHeight="true" outlineLevel="0" collapsed="false">
      <c r="A38" s="38" t="s">
        <v>63</v>
      </c>
      <c r="B38" s="38"/>
      <c r="C38" s="38"/>
      <c r="D38" s="38"/>
      <c r="E38" s="38"/>
      <c r="F38" s="39" t="n">
        <f aca="false">SUM(F4:F33)</f>
        <v>0</v>
      </c>
      <c r="G38" s="39"/>
      <c r="H38" s="39"/>
      <c r="I38" s="39"/>
      <c r="J38" s="39"/>
      <c r="K38" s="39"/>
      <c r="L38" s="39"/>
      <c r="M38" s="39"/>
      <c r="N38" s="39"/>
      <c r="O38" s="39"/>
    </row>
    <row r="39" customFormat="false" ht="22.5" hidden="false" customHeight="true" outlineLevel="0" collapsed="false">
      <c r="A39" s="36" t="s">
        <v>64</v>
      </c>
      <c r="B39" s="36"/>
      <c r="C39" s="36"/>
      <c r="D39" s="36"/>
      <c r="E39" s="36"/>
      <c r="F39" s="40" t="n">
        <f aca="false">IF(F38=0,0,IFERROR(VLOOKUP(F38,税額表!$A$2:$B$74,2,TRUE()),0))</f>
        <v>0</v>
      </c>
      <c r="G39" s="40"/>
      <c r="H39" s="40"/>
      <c r="I39" s="40"/>
      <c r="J39" s="40"/>
      <c r="K39" s="40"/>
      <c r="L39" s="40"/>
      <c r="M39" s="40"/>
      <c r="N39" s="40"/>
      <c r="O39" s="40"/>
    </row>
    <row r="40" customFormat="false" ht="22.5" hidden="false" customHeight="true" outlineLevel="0" collapsed="false">
      <c r="A40" s="38" t="s">
        <v>65</v>
      </c>
      <c r="B40" s="38"/>
      <c r="C40" s="38"/>
      <c r="D40" s="38"/>
      <c r="E40" s="38"/>
      <c r="F40" s="39" t="n">
        <f aca="false">F38-F39</f>
        <v>0</v>
      </c>
      <c r="G40" s="39"/>
      <c r="H40" s="39"/>
      <c r="I40" s="39"/>
      <c r="J40" s="39"/>
      <c r="K40" s="39"/>
      <c r="L40" s="39"/>
      <c r="M40" s="39"/>
      <c r="N40" s="39"/>
      <c r="O40" s="39"/>
    </row>
    <row r="41" customFormat="false" ht="22.5" hidden="false" customHeight="true" outlineLevel="0" collapsed="false">
      <c r="A41" s="36" t="s">
        <v>66</v>
      </c>
      <c r="B41" s="36"/>
      <c r="C41" s="36"/>
      <c r="D41" s="36"/>
      <c r="E41" s="36"/>
      <c r="F41" s="40" t="n">
        <f aca="false">SUM(I4:I33)</f>
        <v>0</v>
      </c>
      <c r="G41" s="40"/>
      <c r="H41" s="40"/>
      <c r="I41" s="40"/>
      <c r="J41" s="40"/>
      <c r="K41" s="40"/>
      <c r="L41" s="40"/>
      <c r="M41" s="40"/>
      <c r="N41" s="40"/>
      <c r="O41" s="40"/>
    </row>
    <row r="42" customFormat="false" ht="22.5" hidden="false" customHeight="true" outlineLevel="0" collapsed="false">
      <c r="A42" s="36" t="s">
        <v>67</v>
      </c>
      <c r="B42" s="36"/>
      <c r="C42" s="36"/>
      <c r="D42" s="36"/>
      <c r="E42" s="36"/>
      <c r="F42" s="40" t="n">
        <f aca="false">SUMIF(L4:L33,"現金",K4:K33)+SUMIF(L4:L33,"個人カード",K4:K33)</f>
        <v>0</v>
      </c>
      <c r="G42" s="40"/>
      <c r="H42" s="40"/>
      <c r="I42" s="40"/>
      <c r="J42" s="40"/>
      <c r="K42" s="40"/>
      <c r="L42" s="40"/>
      <c r="M42" s="40"/>
      <c r="N42" s="40"/>
      <c r="O42" s="40"/>
    </row>
    <row r="43" customFormat="false" ht="22.5" hidden="false" customHeight="true" outlineLevel="0" collapsed="false">
      <c r="A43" s="41" t="s">
        <v>68</v>
      </c>
      <c r="B43" s="41"/>
      <c r="C43" s="41"/>
      <c r="D43" s="41"/>
      <c r="E43" s="41"/>
      <c r="F43" s="42" t="n">
        <f aca="false">SUM(M4:M33)</f>
        <v>0</v>
      </c>
      <c r="G43" s="42"/>
      <c r="H43" s="42"/>
      <c r="I43" s="42"/>
      <c r="J43" s="42"/>
      <c r="K43" s="42"/>
      <c r="L43" s="42"/>
      <c r="M43" s="42"/>
      <c r="N43" s="42"/>
      <c r="O43" s="42"/>
    </row>
    <row r="44" customFormat="false" ht="22.5" hidden="false" customHeight="true" outlineLevel="0" collapsed="false">
      <c r="A44" s="41" t="s">
        <v>69</v>
      </c>
      <c r="B44" s="41"/>
      <c r="C44" s="41"/>
      <c r="D44" s="41"/>
      <c r="E44" s="41"/>
      <c r="F44" s="42" t="n">
        <f aca="false">SUM(O4:O33)</f>
        <v>0</v>
      </c>
      <c r="G44" s="42"/>
      <c r="H44" s="42"/>
      <c r="I44" s="42"/>
      <c r="J44" s="42"/>
      <c r="K44" s="42"/>
      <c r="L44" s="42"/>
      <c r="M44" s="42"/>
      <c r="N44" s="42"/>
      <c r="O44" s="42"/>
    </row>
    <row r="45" customFormat="false" ht="22.5" hidden="false" customHeight="true" outlineLevel="0" collapsed="false">
      <c r="A45" s="43" t="s">
        <v>70</v>
      </c>
      <c r="B45" s="43"/>
      <c r="C45" s="43"/>
      <c r="D45" s="43"/>
      <c r="E45" s="43"/>
      <c r="F45" s="44" t="n">
        <f aca="false">'3月'!F43</f>
        <v>0</v>
      </c>
      <c r="G45" s="44"/>
      <c r="H45" s="44"/>
      <c r="I45" s="44"/>
      <c r="J45" s="44"/>
      <c r="K45" s="44"/>
      <c r="L45" s="44"/>
      <c r="M45" s="44"/>
      <c r="N45" s="44"/>
      <c r="O45" s="44"/>
    </row>
    <row r="46" customFormat="false" ht="22.5" hidden="false" customHeight="true" outlineLevel="0" collapsed="false">
      <c r="A46" s="45" t="s">
        <v>71</v>
      </c>
      <c r="B46" s="45"/>
      <c r="C46" s="45"/>
      <c r="D46" s="45"/>
      <c r="E46" s="45"/>
      <c r="F46" s="46" t="n">
        <f aca="false">F40+F41+F42+F43+F44+F45</f>
        <v>0</v>
      </c>
      <c r="G46" s="46"/>
      <c r="H46" s="46"/>
      <c r="I46" s="46"/>
      <c r="J46" s="46"/>
      <c r="K46" s="46"/>
      <c r="L46" s="46"/>
      <c r="M46" s="46"/>
      <c r="N46" s="46"/>
      <c r="O46" s="46"/>
    </row>
    <row r="48" customFormat="false" ht="13.5" hidden="false" customHeight="true" outlineLevel="0" collapsed="false">
      <c r="A48" s="47" t="s">
        <v>72</v>
      </c>
      <c r="B48" s="47"/>
      <c r="C48" s="48" t="s">
        <v>73</v>
      </c>
      <c r="D48" s="48"/>
      <c r="E48" s="49" t="s">
        <v>74</v>
      </c>
      <c r="F48" s="49"/>
      <c r="G48" s="50" t="s">
        <v>75</v>
      </c>
      <c r="H48" s="50"/>
      <c r="I48" s="51" t="s">
        <v>76</v>
      </c>
      <c r="J48" s="51"/>
      <c r="K48" s="52" t="s">
        <v>108</v>
      </c>
      <c r="L48" s="52"/>
    </row>
    <row r="49" customFormat="false" ht="30" hidden="false" customHeight="true" outlineLevel="0" collapsed="false">
      <c r="A49" s="53" t="s">
        <v>78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</row>
  </sheetData>
  <mergeCells count="36">
    <mergeCell ref="A1:O1"/>
    <mergeCell ref="A2:B2"/>
    <mergeCell ref="C2:F2"/>
    <mergeCell ref="G2:H2"/>
    <mergeCell ref="I2:K2"/>
    <mergeCell ref="L2:O2"/>
    <mergeCell ref="A35:O35"/>
    <mergeCell ref="A36:E36"/>
    <mergeCell ref="F36:O36"/>
    <mergeCell ref="A37:E37"/>
    <mergeCell ref="F37:O37"/>
    <mergeCell ref="A38:E38"/>
    <mergeCell ref="F38:O38"/>
    <mergeCell ref="A39:E39"/>
    <mergeCell ref="F39:O39"/>
    <mergeCell ref="A40:E40"/>
    <mergeCell ref="F40:O40"/>
    <mergeCell ref="A41:E41"/>
    <mergeCell ref="F41:O41"/>
    <mergeCell ref="A42:E42"/>
    <mergeCell ref="F42:O42"/>
    <mergeCell ref="A43:E43"/>
    <mergeCell ref="F43:O43"/>
    <mergeCell ref="A44:E44"/>
    <mergeCell ref="F44:O44"/>
    <mergeCell ref="A45:E45"/>
    <mergeCell ref="F45:O45"/>
    <mergeCell ref="A46:E46"/>
    <mergeCell ref="F46:O46"/>
    <mergeCell ref="A48:B48"/>
    <mergeCell ref="C48:D48"/>
    <mergeCell ref="E48:F48"/>
    <mergeCell ref="G48:H48"/>
    <mergeCell ref="I48:J48"/>
    <mergeCell ref="K48:L48"/>
    <mergeCell ref="A49:O49"/>
  </mergeCells>
  <dataValidations count="1">
    <dataValidation allowBlank="true" error="「現金」「個人カード」「法人カード」から選択してください。" errorStyle="stop" errorTitle="入力エラー" operator="between" showDropDown="false" showErrorMessage="true" showInputMessage="false" sqref="L4:L33" type="list">
      <formula1>"現金,個人カード,法人カード"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pane xSplit="0" ySplit="3" topLeftCell="G4" activePane="bottomLeft" state="frozen"/>
      <selection pane="topLeft" activeCell="G1" activeCellId="0" sqref="G1"/>
      <selection pane="bottomLeft" activeCell="K3" activeCellId="0" sqref="K3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6.82"/>
    <col collapsed="false" customWidth="true" hidden="false" outlineLevel="0" max="2" min="2" style="0" width="3.81"/>
    <col collapsed="false" customWidth="true" hidden="false" outlineLevel="0" max="4" min="3" style="0" width="11.04"/>
    <col collapsed="false" customWidth="true" hidden="false" outlineLevel="0" max="5" min="5" style="0" width="8.99"/>
    <col collapsed="false" customWidth="true" hidden="false" outlineLevel="0" max="6" min="6" style="0" width="11.04"/>
    <col collapsed="false" customWidth="true" hidden="false" outlineLevel="0" max="7" min="7" style="0" width="14.04"/>
    <col collapsed="false" customWidth="true" hidden="false" outlineLevel="0" max="9" min="8" style="0" width="11.04"/>
    <col collapsed="false" customWidth="true" hidden="false" outlineLevel="0" max="10" min="10" style="0" width="17.99"/>
    <col collapsed="false" customWidth="true" hidden="false" outlineLevel="0" max="11" min="11" style="0" width="12.81"/>
    <col collapsed="false" customWidth="true" hidden="false" outlineLevel="0" max="12" min="12" style="0" width="11.99"/>
    <col collapsed="false" customWidth="true" hidden="false" outlineLevel="0" max="13" min="13" style="0" width="9.82"/>
    <col collapsed="false" customWidth="true" hidden="false" outlineLevel="0" max="14" min="14" style="0" width="15.81"/>
    <col collapsed="false" customWidth="true" hidden="false" outlineLevel="0" max="15" min="15" style="0" width="12.81"/>
  </cols>
  <sheetData>
    <row r="1" customFormat="false" ht="36" hidden="false" customHeight="true" outlineLevel="0" collapsed="false">
      <c r="A1" s="2" t="s">
        <v>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4" hidden="false" customHeight="true" outlineLevel="0" collapsed="false">
      <c r="A2" s="3" t="s">
        <v>3</v>
      </c>
      <c r="B2" s="3"/>
      <c r="C2" s="4" t="s">
        <v>4</v>
      </c>
      <c r="D2" s="4"/>
      <c r="E2" s="4"/>
      <c r="F2" s="4"/>
      <c r="G2" s="3" t="s">
        <v>5</v>
      </c>
      <c r="H2" s="3"/>
      <c r="I2" s="5" t="n">
        <v>1300</v>
      </c>
      <c r="J2" s="5"/>
      <c r="K2" s="5"/>
      <c r="L2" s="6" t="s">
        <v>6</v>
      </c>
      <c r="M2" s="6"/>
      <c r="N2" s="6"/>
      <c r="O2" s="6"/>
    </row>
    <row r="3" customFormat="false" ht="42" hidden="false" customHeight="true" outlineLevel="0" collapsed="false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8" t="s">
        <v>19</v>
      </c>
      <c r="N3" s="8" t="s">
        <v>20</v>
      </c>
      <c r="O3" s="8" t="s">
        <v>21</v>
      </c>
    </row>
    <row r="4" customFormat="false" ht="18.75" hidden="false" customHeight="true" outlineLevel="0" collapsed="false">
      <c r="A4" s="9" t="s">
        <v>173</v>
      </c>
      <c r="B4" s="10" t="s">
        <v>25</v>
      </c>
      <c r="C4" s="11"/>
      <c r="D4" s="11"/>
      <c r="E4" s="12" t="str">
        <f aca="false">IF(AND(C4&lt;&gt;"",D4&lt;&gt;""),IF(D4&gt;=C4,ROUND((D4-C4)*24,2),ROUND((D4-C4+1)*24,2)),"")</f>
        <v/>
      </c>
      <c r="F4" s="13" t="str">
        <f aca="false">IF(E4&lt;&gt;"",ROUND(E4*$I$2,0),"")</f>
        <v/>
      </c>
      <c r="G4" s="14"/>
      <c r="H4" s="15"/>
      <c r="I4" s="16"/>
      <c r="J4" s="14"/>
      <c r="K4" s="16"/>
      <c r="L4" s="15"/>
      <c r="M4" s="17"/>
      <c r="N4" s="18"/>
      <c r="O4" s="17"/>
    </row>
    <row r="5" customFormat="false" ht="18.75" hidden="false" customHeight="true" outlineLevel="0" collapsed="false">
      <c r="A5" s="19" t="s">
        <v>174</v>
      </c>
      <c r="B5" s="20" t="s">
        <v>27</v>
      </c>
      <c r="C5" s="21"/>
      <c r="D5" s="21"/>
      <c r="E5" s="22" t="str">
        <f aca="false">IF(AND(C5&lt;&gt;"",D5&lt;&gt;""),IF(D5&gt;=C5,ROUND((D5-C5)*24,2),ROUND((D5-C5+1)*24,2)),"")</f>
        <v/>
      </c>
      <c r="F5" s="23" t="str">
        <f aca="false">IF(E5&lt;&gt;"",ROUND(E5*$I$2,0),"")</f>
        <v/>
      </c>
      <c r="G5" s="24"/>
      <c r="H5" s="25"/>
      <c r="I5" s="23"/>
      <c r="J5" s="24"/>
      <c r="K5" s="23"/>
      <c r="L5" s="25"/>
      <c r="M5" s="23"/>
      <c r="N5" s="24"/>
      <c r="O5" s="23"/>
    </row>
    <row r="6" customFormat="false" ht="18.75" hidden="false" customHeight="true" outlineLevel="0" collapsed="false">
      <c r="A6" s="26" t="s">
        <v>175</v>
      </c>
      <c r="B6" s="27" t="s">
        <v>29</v>
      </c>
      <c r="C6" s="28"/>
      <c r="D6" s="28"/>
      <c r="E6" s="29" t="str">
        <f aca="false">IF(AND(C6&lt;&gt;"",D6&lt;&gt;""),IF(D6&gt;=C6,ROUND((D6-C6)*24,2),ROUND((D6-C6+1)*24,2)),"")</f>
        <v/>
      </c>
      <c r="F6" s="30" t="str">
        <f aca="false">IF(E6&lt;&gt;"",ROUND(E6*$I$2,0),"")</f>
        <v/>
      </c>
      <c r="G6" s="31"/>
      <c r="H6" s="32"/>
      <c r="I6" s="30"/>
      <c r="J6" s="31"/>
      <c r="K6" s="30"/>
      <c r="L6" s="32"/>
      <c r="M6" s="30"/>
      <c r="N6" s="31"/>
      <c r="O6" s="30"/>
    </row>
    <row r="7" customFormat="false" ht="18.75" hidden="false" customHeight="true" outlineLevel="0" collapsed="false">
      <c r="A7" s="9" t="s">
        <v>176</v>
      </c>
      <c r="B7" s="10" t="s">
        <v>31</v>
      </c>
      <c r="C7" s="11"/>
      <c r="D7" s="11"/>
      <c r="E7" s="12" t="str">
        <f aca="false">IF(AND(C7&lt;&gt;"",D7&lt;&gt;""),IF(D7&gt;=C7,ROUND((D7-C7)*24,2),ROUND((D7-C7+1)*24,2)),"")</f>
        <v/>
      </c>
      <c r="F7" s="13" t="str">
        <f aca="false">IF(E7&lt;&gt;"",ROUND(E7*$I$2,0),"")</f>
        <v/>
      </c>
      <c r="G7" s="14"/>
      <c r="H7" s="15"/>
      <c r="I7" s="16"/>
      <c r="J7" s="14"/>
      <c r="K7" s="16"/>
      <c r="L7" s="15"/>
      <c r="M7" s="17"/>
      <c r="N7" s="18"/>
      <c r="O7" s="17"/>
    </row>
    <row r="8" customFormat="false" ht="18.75" hidden="false" customHeight="true" outlineLevel="0" collapsed="false">
      <c r="A8" s="9" t="s">
        <v>177</v>
      </c>
      <c r="B8" s="10" t="s">
        <v>33</v>
      </c>
      <c r="C8" s="11"/>
      <c r="D8" s="11"/>
      <c r="E8" s="12" t="str">
        <f aca="false">IF(AND(C8&lt;&gt;"",D8&lt;&gt;""),IF(D8&gt;=C8,ROUND((D8-C8)*24,2),ROUND((D8-C8+1)*24,2)),"")</f>
        <v/>
      </c>
      <c r="F8" s="13" t="str">
        <f aca="false">IF(E8&lt;&gt;"",ROUND(E8*$I$2,0),"")</f>
        <v/>
      </c>
      <c r="G8" s="14"/>
      <c r="H8" s="15"/>
      <c r="I8" s="16"/>
      <c r="J8" s="14"/>
      <c r="K8" s="16"/>
      <c r="L8" s="15"/>
      <c r="M8" s="17"/>
      <c r="N8" s="18"/>
      <c r="O8" s="17"/>
    </row>
    <row r="9" customFormat="false" ht="18.75" hidden="false" customHeight="true" outlineLevel="0" collapsed="false">
      <c r="A9" s="9" t="s">
        <v>178</v>
      </c>
      <c r="B9" s="10" t="s">
        <v>35</v>
      </c>
      <c r="C9" s="11"/>
      <c r="D9" s="11"/>
      <c r="E9" s="12" t="str">
        <f aca="false">IF(AND(C9&lt;&gt;"",D9&lt;&gt;""),IF(D9&gt;=C9,ROUND((D9-C9)*24,2),ROUND((D9-C9+1)*24,2)),"")</f>
        <v/>
      </c>
      <c r="F9" s="13" t="str">
        <f aca="false">IF(E9&lt;&gt;"",ROUND(E9*$I$2,0),"")</f>
        <v/>
      </c>
      <c r="G9" s="14"/>
      <c r="H9" s="15"/>
      <c r="I9" s="16"/>
      <c r="J9" s="14"/>
      <c r="K9" s="16"/>
      <c r="L9" s="15"/>
      <c r="M9" s="17"/>
      <c r="N9" s="18"/>
      <c r="O9" s="17"/>
    </row>
    <row r="10" customFormat="false" ht="18.75" hidden="false" customHeight="true" outlineLevel="0" collapsed="false">
      <c r="A10" s="9" t="s">
        <v>179</v>
      </c>
      <c r="B10" s="10" t="s">
        <v>23</v>
      </c>
      <c r="C10" s="11"/>
      <c r="D10" s="11"/>
      <c r="E10" s="12" t="str">
        <f aca="false">IF(AND(C10&lt;&gt;"",D10&lt;&gt;""),IF(D10&gt;=C10,ROUND((D10-C10)*24,2),ROUND((D10-C10+1)*24,2)),"")</f>
        <v/>
      </c>
      <c r="F10" s="13" t="str">
        <f aca="false">IF(E10&lt;&gt;"",ROUND(E10*$I$2,0),"")</f>
        <v/>
      </c>
      <c r="G10" s="14"/>
      <c r="H10" s="15"/>
      <c r="I10" s="16"/>
      <c r="J10" s="14"/>
      <c r="K10" s="16"/>
      <c r="L10" s="15"/>
      <c r="M10" s="17"/>
      <c r="N10" s="18"/>
      <c r="O10" s="17"/>
    </row>
    <row r="11" customFormat="false" ht="18.75" hidden="false" customHeight="true" outlineLevel="0" collapsed="false">
      <c r="A11" s="9" t="s">
        <v>180</v>
      </c>
      <c r="B11" s="10" t="s">
        <v>25</v>
      </c>
      <c r="C11" s="11"/>
      <c r="D11" s="11"/>
      <c r="E11" s="12" t="str">
        <f aca="false">IF(AND(C11&lt;&gt;"",D11&lt;&gt;""),IF(D11&gt;=C11,ROUND((D11-C11)*24,2),ROUND((D11-C11+1)*24,2)),"")</f>
        <v/>
      </c>
      <c r="F11" s="13" t="str">
        <f aca="false">IF(E11&lt;&gt;"",ROUND(E11*$I$2,0),"")</f>
        <v/>
      </c>
      <c r="G11" s="14"/>
      <c r="H11" s="15"/>
      <c r="I11" s="16"/>
      <c r="J11" s="14"/>
      <c r="K11" s="16"/>
      <c r="L11" s="15"/>
      <c r="M11" s="17"/>
      <c r="N11" s="18"/>
      <c r="O11" s="17"/>
    </row>
    <row r="12" customFormat="false" ht="18.75" hidden="false" customHeight="true" outlineLevel="0" collapsed="false">
      <c r="A12" s="19" t="s">
        <v>181</v>
      </c>
      <c r="B12" s="20" t="s">
        <v>27</v>
      </c>
      <c r="C12" s="21"/>
      <c r="D12" s="21"/>
      <c r="E12" s="22" t="str">
        <f aca="false">IF(AND(C12&lt;&gt;"",D12&lt;&gt;""),IF(D12&gt;=C12,ROUND((D12-C12)*24,2),ROUND((D12-C12+1)*24,2)),"")</f>
        <v/>
      </c>
      <c r="F12" s="23" t="str">
        <f aca="false">IF(E12&lt;&gt;"",ROUND(E12*$I$2,0),"")</f>
        <v/>
      </c>
      <c r="G12" s="24"/>
      <c r="H12" s="25"/>
      <c r="I12" s="23"/>
      <c r="J12" s="24"/>
      <c r="K12" s="23"/>
      <c r="L12" s="25"/>
      <c r="M12" s="23"/>
      <c r="N12" s="24"/>
      <c r="O12" s="23"/>
    </row>
    <row r="13" customFormat="false" ht="18.75" hidden="false" customHeight="true" outlineLevel="0" collapsed="false">
      <c r="A13" s="26" t="s">
        <v>182</v>
      </c>
      <c r="B13" s="27" t="s">
        <v>29</v>
      </c>
      <c r="C13" s="28"/>
      <c r="D13" s="28"/>
      <c r="E13" s="29" t="str">
        <f aca="false">IF(AND(C13&lt;&gt;"",D13&lt;&gt;""),IF(D13&gt;=C13,ROUND((D13-C13)*24,2),ROUND((D13-C13+1)*24,2)),"")</f>
        <v/>
      </c>
      <c r="F13" s="30" t="str">
        <f aca="false">IF(E13&lt;&gt;"",ROUND(E13*$I$2,0),"")</f>
        <v/>
      </c>
      <c r="G13" s="31"/>
      <c r="H13" s="32"/>
      <c r="I13" s="30"/>
      <c r="J13" s="31"/>
      <c r="K13" s="30"/>
      <c r="L13" s="32"/>
      <c r="M13" s="30"/>
      <c r="N13" s="31"/>
      <c r="O13" s="30"/>
    </row>
    <row r="14" customFormat="false" ht="18.75" hidden="false" customHeight="true" outlineLevel="0" collapsed="false">
      <c r="A14" s="9" t="s">
        <v>183</v>
      </c>
      <c r="B14" s="10" t="s">
        <v>31</v>
      </c>
      <c r="C14" s="11"/>
      <c r="D14" s="11"/>
      <c r="E14" s="12" t="str">
        <f aca="false">IF(AND(C14&lt;&gt;"",D14&lt;&gt;""),IF(D14&gt;=C14,ROUND((D14-C14)*24,2),ROUND((D14-C14+1)*24,2)),"")</f>
        <v/>
      </c>
      <c r="F14" s="13" t="str">
        <f aca="false">IF(E14&lt;&gt;"",ROUND(E14*$I$2,0),"")</f>
        <v/>
      </c>
      <c r="G14" s="14"/>
      <c r="H14" s="15"/>
      <c r="I14" s="16"/>
      <c r="J14" s="14"/>
      <c r="K14" s="16"/>
      <c r="L14" s="15"/>
      <c r="M14" s="17"/>
      <c r="N14" s="18"/>
      <c r="O14" s="17"/>
    </row>
    <row r="15" customFormat="false" ht="18.75" hidden="false" customHeight="true" outlineLevel="0" collapsed="false">
      <c r="A15" s="9" t="s">
        <v>184</v>
      </c>
      <c r="B15" s="10" t="s">
        <v>33</v>
      </c>
      <c r="C15" s="11"/>
      <c r="D15" s="11"/>
      <c r="E15" s="12" t="str">
        <f aca="false">IF(AND(C15&lt;&gt;"",D15&lt;&gt;""),IF(D15&gt;=C15,ROUND((D15-C15)*24,2),ROUND((D15-C15+1)*24,2)),"")</f>
        <v/>
      </c>
      <c r="F15" s="13" t="str">
        <f aca="false">IF(E15&lt;&gt;"",ROUND(E15*$I$2,0),"")</f>
        <v/>
      </c>
      <c r="G15" s="14"/>
      <c r="H15" s="15"/>
      <c r="I15" s="16"/>
      <c r="J15" s="14"/>
      <c r="K15" s="16"/>
      <c r="L15" s="15"/>
      <c r="M15" s="17"/>
      <c r="N15" s="18"/>
      <c r="O15" s="17"/>
    </row>
    <row r="16" customFormat="false" ht="18.75" hidden="false" customHeight="true" outlineLevel="0" collapsed="false">
      <c r="A16" s="9" t="s">
        <v>185</v>
      </c>
      <c r="B16" s="10" t="s">
        <v>35</v>
      </c>
      <c r="C16" s="11"/>
      <c r="D16" s="11"/>
      <c r="E16" s="12" t="str">
        <f aca="false">IF(AND(C16&lt;&gt;"",D16&lt;&gt;""),IF(D16&gt;=C16,ROUND((D16-C16)*24,2),ROUND((D16-C16+1)*24,2)),"")</f>
        <v/>
      </c>
      <c r="F16" s="13" t="str">
        <f aca="false">IF(E16&lt;&gt;"",ROUND(E16*$I$2,0),"")</f>
        <v/>
      </c>
      <c r="G16" s="14"/>
      <c r="H16" s="15"/>
      <c r="I16" s="16"/>
      <c r="J16" s="14"/>
      <c r="K16" s="16"/>
      <c r="L16" s="15"/>
      <c r="M16" s="17"/>
      <c r="N16" s="18"/>
      <c r="O16" s="17"/>
    </row>
    <row r="17" customFormat="false" ht="18.75" hidden="false" customHeight="true" outlineLevel="0" collapsed="false">
      <c r="A17" s="9" t="s">
        <v>186</v>
      </c>
      <c r="B17" s="10" t="s">
        <v>23</v>
      </c>
      <c r="C17" s="11"/>
      <c r="D17" s="11"/>
      <c r="E17" s="12" t="str">
        <f aca="false">IF(AND(C17&lt;&gt;"",D17&lt;&gt;""),IF(D17&gt;=C17,ROUND((D17-C17)*24,2),ROUND((D17-C17+1)*24,2)),"")</f>
        <v/>
      </c>
      <c r="F17" s="13" t="str">
        <f aca="false">IF(E17&lt;&gt;"",ROUND(E17*$I$2,0),"")</f>
        <v/>
      </c>
      <c r="G17" s="14"/>
      <c r="H17" s="15"/>
      <c r="I17" s="16"/>
      <c r="J17" s="14"/>
      <c r="K17" s="16"/>
      <c r="L17" s="15"/>
      <c r="M17" s="17"/>
      <c r="N17" s="18"/>
      <c r="O17" s="17"/>
    </row>
    <row r="18" customFormat="false" ht="18.75" hidden="false" customHeight="true" outlineLevel="0" collapsed="false">
      <c r="A18" s="9" t="s">
        <v>187</v>
      </c>
      <c r="B18" s="10" t="s">
        <v>25</v>
      </c>
      <c r="C18" s="11"/>
      <c r="D18" s="11"/>
      <c r="E18" s="12" t="str">
        <f aca="false">IF(AND(C18&lt;&gt;"",D18&lt;&gt;""),IF(D18&gt;=C18,ROUND((D18-C18)*24,2),ROUND((D18-C18+1)*24,2)),"")</f>
        <v/>
      </c>
      <c r="F18" s="13" t="str">
        <f aca="false">IF(E18&lt;&gt;"",ROUND(E18*$I$2,0),"")</f>
        <v/>
      </c>
      <c r="G18" s="14"/>
      <c r="H18" s="15"/>
      <c r="I18" s="16"/>
      <c r="J18" s="14"/>
      <c r="K18" s="16"/>
      <c r="L18" s="15"/>
      <c r="M18" s="17"/>
      <c r="N18" s="18"/>
      <c r="O18" s="17"/>
    </row>
    <row r="19" customFormat="false" ht="18.75" hidden="false" customHeight="true" outlineLevel="0" collapsed="false">
      <c r="A19" s="19" t="s">
        <v>188</v>
      </c>
      <c r="B19" s="20" t="s">
        <v>27</v>
      </c>
      <c r="C19" s="21"/>
      <c r="D19" s="21"/>
      <c r="E19" s="22" t="str">
        <f aca="false">IF(AND(C19&lt;&gt;"",D19&lt;&gt;""),IF(D19&gt;=C19,ROUND((D19-C19)*24,2),ROUND((D19-C19+1)*24,2)),"")</f>
        <v/>
      </c>
      <c r="F19" s="23" t="str">
        <f aca="false">IF(E19&lt;&gt;"",ROUND(E19*$I$2,0),"")</f>
        <v/>
      </c>
      <c r="G19" s="24"/>
      <c r="H19" s="25"/>
      <c r="I19" s="23"/>
      <c r="J19" s="24"/>
      <c r="K19" s="23"/>
      <c r="L19" s="25"/>
      <c r="M19" s="23"/>
      <c r="N19" s="24"/>
      <c r="O19" s="23"/>
    </row>
    <row r="20" customFormat="false" ht="18.75" hidden="false" customHeight="true" outlineLevel="0" collapsed="false">
      <c r="A20" s="26" t="s">
        <v>189</v>
      </c>
      <c r="B20" s="27" t="s">
        <v>29</v>
      </c>
      <c r="C20" s="28"/>
      <c r="D20" s="28"/>
      <c r="E20" s="29" t="str">
        <f aca="false">IF(AND(C20&lt;&gt;"",D20&lt;&gt;""),IF(D20&gt;=C20,ROUND((D20-C20)*24,2),ROUND((D20-C20+1)*24,2)),"")</f>
        <v/>
      </c>
      <c r="F20" s="30" t="str">
        <f aca="false">IF(E20&lt;&gt;"",ROUND(E20*$I$2,0),"")</f>
        <v/>
      </c>
      <c r="G20" s="31"/>
      <c r="H20" s="32"/>
      <c r="I20" s="30"/>
      <c r="J20" s="31"/>
      <c r="K20" s="30"/>
      <c r="L20" s="32"/>
      <c r="M20" s="30"/>
      <c r="N20" s="31"/>
      <c r="O20" s="30"/>
    </row>
    <row r="21" customFormat="false" ht="18.75" hidden="false" customHeight="true" outlineLevel="0" collapsed="false">
      <c r="A21" s="9" t="s">
        <v>190</v>
      </c>
      <c r="B21" s="10" t="s">
        <v>31</v>
      </c>
      <c r="C21" s="11"/>
      <c r="D21" s="11"/>
      <c r="E21" s="12" t="str">
        <f aca="false">IF(AND(C21&lt;&gt;"",D21&lt;&gt;""),IF(D21&gt;=C21,ROUND((D21-C21)*24,2),ROUND((D21-C21+1)*24,2)),"")</f>
        <v/>
      </c>
      <c r="F21" s="13" t="str">
        <f aca="false">IF(E21&lt;&gt;"",ROUND(E21*$I$2,0),"")</f>
        <v/>
      </c>
      <c r="G21" s="14"/>
      <c r="H21" s="15"/>
      <c r="I21" s="16"/>
      <c r="J21" s="14"/>
      <c r="K21" s="16"/>
      <c r="L21" s="15"/>
      <c r="M21" s="17"/>
      <c r="N21" s="18"/>
      <c r="O21" s="17"/>
    </row>
    <row r="22" customFormat="false" ht="18.75" hidden="false" customHeight="true" outlineLevel="0" collapsed="false">
      <c r="A22" s="9" t="s">
        <v>191</v>
      </c>
      <c r="B22" s="10" t="s">
        <v>33</v>
      </c>
      <c r="C22" s="11"/>
      <c r="D22" s="11"/>
      <c r="E22" s="12" t="str">
        <f aca="false">IF(AND(C22&lt;&gt;"",D22&lt;&gt;""),IF(D22&gt;=C22,ROUND((D22-C22)*24,2),ROUND((D22-C22+1)*24,2)),"")</f>
        <v/>
      </c>
      <c r="F22" s="13" t="str">
        <f aca="false">IF(E22&lt;&gt;"",ROUND(E22*$I$2,0),"")</f>
        <v/>
      </c>
      <c r="G22" s="14"/>
      <c r="H22" s="15"/>
      <c r="I22" s="16"/>
      <c r="J22" s="14"/>
      <c r="K22" s="16"/>
      <c r="L22" s="15"/>
      <c r="M22" s="17"/>
      <c r="N22" s="18"/>
      <c r="O22" s="17"/>
    </row>
    <row r="23" customFormat="false" ht="18.75" hidden="false" customHeight="true" outlineLevel="0" collapsed="false">
      <c r="A23" s="9" t="s">
        <v>192</v>
      </c>
      <c r="B23" s="10" t="s">
        <v>35</v>
      </c>
      <c r="C23" s="11"/>
      <c r="D23" s="11"/>
      <c r="E23" s="12" t="str">
        <f aca="false">IF(AND(C23&lt;&gt;"",D23&lt;&gt;""),IF(D23&gt;=C23,ROUND((D23-C23)*24,2),ROUND((D23-C23+1)*24,2)),"")</f>
        <v/>
      </c>
      <c r="F23" s="13" t="str">
        <f aca="false">IF(E23&lt;&gt;"",ROUND(E23*$I$2,0),"")</f>
        <v/>
      </c>
      <c r="G23" s="14"/>
      <c r="H23" s="15"/>
      <c r="I23" s="16"/>
      <c r="J23" s="14"/>
      <c r="K23" s="16"/>
      <c r="L23" s="15"/>
      <c r="M23" s="17"/>
      <c r="N23" s="18"/>
      <c r="O23" s="17"/>
    </row>
    <row r="24" customFormat="false" ht="18.75" hidden="false" customHeight="true" outlineLevel="0" collapsed="false">
      <c r="A24" s="9" t="s">
        <v>193</v>
      </c>
      <c r="B24" s="10" t="s">
        <v>23</v>
      </c>
      <c r="C24" s="11"/>
      <c r="D24" s="11"/>
      <c r="E24" s="12" t="str">
        <f aca="false">IF(AND(C24&lt;&gt;"",D24&lt;&gt;""),IF(D24&gt;=C24,ROUND((D24-C24)*24,2),ROUND((D24-C24+1)*24,2)),"")</f>
        <v/>
      </c>
      <c r="F24" s="13" t="str">
        <f aca="false">IF(E24&lt;&gt;"",ROUND(E24*$I$2,0),"")</f>
        <v/>
      </c>
      <c r="G24" s="14"/>
      <c r="H24" s="15"/>
      <c r="I24" s="16"/>
      <c r="J24" s="14"/>
      <c r="K24" s="16"/>
      <c r="L24" s="15"/>
      <c r="M24" s="17"/>
      <c r="N24" s="18"/>
      <c r="O24" s="17"/>
    </row>
    <row r="25" customFormat="false" ht="18.75" hidden="false" customHeight="true" outlineLevel="0" collapsed="false">
      <c r="A25" s="9" t="s">
        <v>194</v>
      </c>
      <c r="B25" s="10" t="s">
        <v>25</v>
      </c>
      <c r="C25" s="11"/>
      <c r="D25" s="11"/>
      <c r="E25" s="12" t="str">
        <f aca="false">IF(AND(C25&lt;&gt;"",D25&lt;&gt;""),IF(D25&gt;=C25,ROUND((D25-C25)*24,2),ROUND((D25-C25+1)*24,2)),"")</f>
        <v/>
      </c>
      <c r="F25" s="13" t="str">
        <f aca="false">IF(E25&lt;&gt;"",ROUND(E25*$I$2,0),"")</f>
        <v/>
      </c>
      <c r="G25" s="14"/>
      <c r="H25" s="15"/>
      <c r="I25" s="16"/>
      <c r="J25" s="14"/>
      <c r="K25" s="16"/>
      <c r="L25" s="15"/>
      <c r="M25" s="17"/>
      <c r="N25" s="18"/>
      <c r="O25" s="17"/>
    </row>
    <row r="26" customFormat="false" ht="18.75" hidden="false" customHeight="true" outlineLevel="0" collapsed="false">
      <c r="A26" s="19" t="s">
        <v>195</v>
      </c>
      <c r="B26" s="20" t="s">
        <v>27</v>
      </c>
      <c r="C26" s="21"/>
      <c r="D26" s="21"/>
      <c r="E26" s="22" t="str">
        <f aca="false">IF(AND(C26&lt;&gt;"",D26&lt;&gt;""),IF(D26&gt;=C26,ROUND((D26-C26)*24,2),ROUND((D26-C26+1)*24,2)),"")</f>
        <v/>
      </c>
      <c r="F26" s="23" t="str">
        <f aca="false">IF(E26&lt;&gt;"",ROUND(E26*$I$2,0),"")</f>
        <v/>
      </c>
      <c r="G26" s="24"/>
      <c r="H26" s="25"/>
      <c r="I26" s="23"/>
      <c r="J26" s="24"/>
      <c r="K26" s="23"/>
      <c r="L26" s="25"/>
      <c r="M26" s="23"/>
      <c r="N26" s="24"/>
      <c r="O26" s="23"/>
    </row>
    <row r="27" customFormat="false" ht="18.75" hidden="false" customHeight="true" outlineLevel="0" collapsed="false">
      <c r="A27" s="26" t="s">
        <v>196</v>
      </c>
      <c r="B27" s="27" t="s">
        <v>29</v>
      </c>
      <c r="C27" s="28"/>
      <c r="D27" s="28"/>
      <c r="E27" s="29" t="str">
        <f aca="false">IF(AND(C27&lt;&gt;"",D27&lt;&gt;""),IF(D27&gt;=C27,ROUND((D27-C27)*24,2),ROUND((D27-C27+1)*24,2)),"")</f>
        <v/>
      </c>
      <c r="F27" s="30" t="str">
        <f aca="false">IF(E27&lt;&gt;"",ROUND(E27*$I$2,0),"")</f>
        <v/>
      </c>
      <c r="G27" s="31"/>
      <c r="H27" s="32"/>
      <c r="I27" s="30"/>
      <c r="J27" s="31"/>
      <c r="K27" s="30"/>
      <c r="L27" s="32"/>
      <c r="M27" s="30"/>
      <c r="N27" s="31"/>
      <c r="O27" s="30"/>
    </row>
    <row r="28" customFormat="false" ht="18.75" hidden="false" customHeight="true" outlineLevel="0" collapsed="false">
      <c r="A28" s="9" t="s">
        <v>197</v>
      </c>
      <c r="B28" s="10" t="s">
        <v>31</v>
      </c>
      <c r="C28" s="11"/>
      <c r="D28" s="11"/>
      <c r="E28" s="12" t="str">
        <f aca="false">IF(AND(C28&lt;&gt;"",D28&lt;&gt;""),IF(D28&gt;=C28,ROUND((D28-C28)*24,2),ROUND((D28-C28+1)*24,2)),"")</f>
        <v/>
      </c>
      <c r="F28" s="13" t="str">
        <f aca="false">IF(E28&lt;&gt;"",ROUND(E28*$I$2,0),"")</f>
        <v/>
      </c>
      <c r="G28" s="14"/>
      <c r="H28" s="15"/>
      <c r="I28" s="16"/>
      <c r="J28" s="14"/>
      <c r="K28" s="16"/>
      <c r="L28" s="15"/>
      <c r="M28" s="17"/>
      <c r="N28" s="18"/>
      <c r="O28" s="17"/>
    </row>
    <row r="29" customFormat="false" ht="18.75" hidden="false" customHeight="true" outlineLevel="0" collapsed="false">
      <c r="A29" s="9" t="s">
        <v>198</v>
      </c>
      <c r="B29" s="10" t="s">
        <v>33</v>
      </c>
      <c r="C29" s="11"/>
      <c r="D29" s="11"/>
      <c r="E29" s="12" t="str">
        <f aca="false">IF(AND(C29&lt;&gt;"",D29&lt;&gt;""),IF(D29&gt;=C29,ROUND((D29-C29)*24,2),ROUND((D29-C29+1)*24,2)),"")</f>
        <v/>
      </c>
      <c r="F29" s="13" t="str">
        <f aca="false">IF(E29&lt;&gt;"",ROUND(E29*$I$2,0),"")</f>
        <v/>
      </c>
      <c r="G29" s="14"/>
      <c r="H29" s="15"/>
      <c r="I29" s="16"/>
      <c r="J29" s="14"/>
      <c r="K29" s="16"/>
      <c r="L29" s="15"/>
      <c r="M29" s="17"/>
      <c r="N29" s="18"/>
      <c r="O29" s="17"/>
    </row>
    <row r="30" customFormat="false" ht="18.75" hidden="false" customHeight="true" outlineLevel="0" collapsed="false">
      <c r="A30" s="9" t="s">
        <v>199</v>
      </c>
      <c r="B30" s="10" t="s">
        <v>35</v>
      </c>
      <c r="C30" s="11"/>
      <c r="D30" s="11"/>
      <c r="E30" s="12" t="str">
        <f aca="false">IF(AND(C30&lt;&gt;"",D30&lt;&gt;""),IF(D30&gt;=C30,ROUND((D30-C30)*24,2),ROUND((D30-C30+1)*24,2)),"")</f>
        <v/>
      </c>
      <c r="F30" s="13" t="str">
        <f aca="false">IF(E30&lt;&gt;"",ROUND(E30*$I$2,0),"")</f>
        <v/>
      </c>
      <c r="G30" s="14"/>
      <c r="H30" s="15"/>
      <c r="I30" s="16"/>
      <c r="J30" s="14"/>
      <c r="K30" s="16"/>
      <c r="L30" s="15"/>
      <c r="M30" s="17"/>
      <c r="N30" s="18"/>
      <c r="O30" s="17"/>
    </row>
    <row r="31" customFormat="false" ht="18.75" hidden="false" customHeight="true" outlineLevel="0" collapsed="false">
      <c r="A31" s="9" t="s">
        <v>200</v>
      </c>
      <c r="B31" s="10" t="s">
        <v>23</v>
      </c>
      <c r="C31" s="11"/>
      <c r="D31" s="11"/>
      <c r="E31" s="12" t="str">
        <f aca="false">IF(AND(C31&lt;&gt;"",D31&lt;&gt;""),IF(D31&gt;=C31,ROUND((D31-C31)*24,2),ROUND((D31-C31+1)*24,2)),"")</f>
        <v/>
      </c>
      <c r="F31" s="13" t="str">
        <f aca="false">IF(E31&lt;&gt;"",ROUND(E31*$I$2,0),"")</f>
        <v/>
      </c>
      <c r="G31" s="14"/>
      <c r="H31" s="15"/>
      <c r="I31" s="16"/>
      <c r="J31" s="14"/>
      <c r="K31" s="16"/>
      <c r="L31" s="15"/>
      <c r="M31" s="17"/>
      <c r="N31" s="18"/>
      <c r="O31" s="17"/>
    </row>
    <row r="32" customFormat="false" ht="18.75" hidden="false" customHeight="true" outlineLevel="0" collapsed="false">
      <c r="A32" s="9" t="s">
        <v>201</v>
      </c>
      <c r="B32" s="10" t="s">
        <v>25</v>
      </c>
      <c r="C32" s="11"/>
      <c r="D32" s="11"/>
      <c r="E32" s="12" t="str">
        <f aca="false">IF(AND(C32&lt;&gt;"",D32&lt;&gt;""),IF(D32&gt;=C32,ROUND((D32-C32)*24,2),ROUND((D32-C32+1)*24,2)),"")</f>
        <v/>
      </c>
      <c r="F32" s="13" t="str">
        <f aca="false">IF(E32&lt;&gt;"",ROUND(E32*$I$2,0),"")</f>
        <v/>
      </c>
      <c r="G32" s="14"/>
      <c r="H32" s="15"/>
      <c r="I32" s="16"/>
      <c r="J32" s="14"/>
      <c r="K32" s="16"/>
      <c r="L32" s="15"/>
      <c r="M32" s="17"/>
      <c r="N32" s="18"/>
      <c r="O32" s="17"/>
    </row>
    <row r="33" customFormat="false" ht="18.75" hidden="false" customHeight="true" outlineLevel="0" collapsed="false">
      <c r="A33" s="19" t="s">
        <v>202</v>
      </c>
      <c r="B33" s="20" t="s">
        <v>27</v>
      </c>
      <c r="C33" s="21"/>
      <c r="D33" s="21"/>
      <c r="E33" s="22" t="str">
        <f aca="false">IF(AND(C33&lt;&gt;"",D33&lt;&gt;""),IF(D33&gt;=C33,ROUND((D33-C33)*24,2),ROUND((D33-C33+1)*24,2)),"")</f>
        <v/>
      </c>
      <c r="F33" s="23" t="str">
        <f aca="false">IF(E33&lt;&gt;"",ROUND(E33*$I$2,0),"")</f>
        <v/>
      </c>
      <c r="G33" s="24"/>
      <c r="H33" s="25"/>
      <c r="I33" s="23"/>
      <c r="J33" s="24"/>
      <c r="K33" s="23"/>
      <c r="L33" s="25"/>
      <c r="M33" s="23"/>
      <c r="N33" s="24"/>
      <c r="O33" s="23"/>
    </row>
    <row r="34" customFormat="false" ht="18.75" hidden="false" customHeight="true" outlineLevel="0" collapsed="false">
      <c r="A34" s="26" t="s">
        <v>203</v>
      </c>
      <c r="B34" s="27" t="s">
        <v>29</v>
      </c>
      <c r="C34" s="28"/>
      <c r="D34" s="28"/>
      <c r="E34" s="29" t="str">
        <f aca="false">IF(AND(C34&lt;&gt;"",D34&lt;&gt;""),IF(D34&gt;=C34,ROUND((D34-C34)*24,2),ROUND((D34-C34+1)*24,2)),"")</f>
        <v/>
      </c>
      <c r="F34" s="30" t="str">
        <f aca="false">IF(E34&lt;&gt;"",ROUND(E34*$I$2,0),"")</f>
        <v/>
      </c>
      <c r="G34" s="31"/>
      <c r="H34" s="32"/>
      <c r="I34" s="30"/>
      <c r="J34" s="31"/>
      <c r="K34" s="30"/>
      <c r="L34" s="32"/>
      <c r="M34" s="30"/>
      <c r="N34" s="31"/>
      <c r="O34" s="30"/>
    </row>
    <row r="35" customFormat="false" ht="3.75" hidden="false" customHeight="true" outlineLevel="0" collapsed="false"/>
    <row r="36" customFormat="false" ht="25.5" hidden="false" customHeight="true" outlineLevel="0" collapsed="false">
      <c r="A36" s="33" t="s">
        <v>60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 customFormat="false" ht="22.5" hidden="false" customHeight="true" outlineLevel="0" collapsed="false">
      <c r="A37" s="34" t="s">
        <v>61</v>
      </c>
      <c r="B37" s="34"/>
      <c r="C37" s="34"/>
      <c r="D37" s="34"/>
      <c r="E37" s="34"/>
      <c r="F37" s="35" t="n">
        <f aca="false">COUNT(E4:E34)</f>
        <v>0</v>
      </c>
      <c r="G37" s="35"/>
      <c r="H37" s="35"/>
      <c r="I37" s="35"/>
      <c r="J37" s="35"/>
      <c r="K37" s="35"/>
      <c r="L37" s="35"/>
      <c r="M37" s="35"/>
      <c r="N37" s="35"/>
      <c r="O37" s="35"/>
    </row>
    <row r="38" customFormat="false" ht="22.5" hidden="false" customHeight="true" outlineLevel="0" collapsed="false">
      <c r="A38" s="36" t="s">
        <v>62</v>
      </c>
      <c r="B38" s="36"/>
      <c r="C38" s="36"/>
      <c r="D38" s="36"/>
      <c r="E38" s="36"/>
      <c r="F38" s="37" t="n">
        <f aca="false">SUM(E4:E34)</f>
        <v>0</v>
      </c>
      <c r="G38" s="37"/>
      <c r="H38" s="37"/>
      <c r="I38" s="37"/>
      <c r="J38" s="37"/>
      <c r="K38" s="37"/>
      <c r="L38" s="37"/>
      <c r="M38" s="37"/>
      <c r="N38" s="37"/>
      <c r="O38" s="37"/>
    </row>
    <row r="39" customFormat="false" ht="22.5" hidden="false" customHeight="true" outlineLevel="0" collapsed="false">
      <c r="A39" s="38" t="s">
        <v>63</v>
      </c>
      <c r="B39" s="38"/>
      <c r="C39" s="38"/>
      <c r="D39" s="38"/>
      <c r="E39" s="38"/>
      <c r="F39" s="39" t="n">
        <f aca="false">SUM(F4:F34)</f>
        <v>0</v>
      </c>
      <c r="G39" s="39"/>
      <c r="H39" s="39"/>
      <c r="I39" s="39"/>
      <c r="J39" s="39"/>
      <c r="K39" s="39"/>
      <c r="L39" s="39"/>
      <c r="M39" s="39"/>
      <c r="N39" s="39"/>
      <c r="O39" s="39"/>
    </row>
    <row r="40" customFormat="false" ht="22.5" hidden="false" customHeight="true" outlineLevel="0" collapsed="false">
      <c r="A40" s="36" t="s">
        <v>64</v>
      </c>
      <c r="B40" s="36"/>
      <c r="C40" s="36"/>
      <c r="D40" s="36"/>
      <c r="E40" s="36"/>
      <c r="F40" s="40" t="n">
        <f aca="false">IF(F39=0,0,IFERROR(VLOOKUP(F39,税額表!$A$2:$B$74,2,TRUE()),0))</f>
        <v>0</v>
      </c>
      <c r="G40" s="40"/>
      <c r="H40" s="40"/>
      <c r="I40" s="40"/>
      <c r="J40" s="40"/>
      <c r="K40" s="40"/>
      <c r="L40" s="40"/>
      <c r="M40" s="40"/>
      <c r="N40" s="40"/>
      <c r="O40" s="40"/>
    </row>
    <row r="41" customFormat="false" ht="22.5" hidden="false" customHeight="true" outlineLevel="0" collapsed="false">
      <c r="A41" s="38" t="s">
        <v>65</v>
      </c>
      <c r="B41" s="38"/>
      <c r="C41" s="38"/>
      <c r="D41" s="38"/>
      <c r="E41" s="38"/>
      <c r="F41" s="39" t="n">
        <f aca="false">F39-F40</f>
        <v>0</v>
      </c>
      <c r="G41" s="39"/>
      <c r="H41" s="39"/>
      <c r="I41" s="39"/>
      <c r="J41" s="39"/>
      <c r="K41" s="39"/>
      <c r="L41" s="39"/>
      <c r="M41" s="39"/>
      <c r="N41" s="39"/>
      <c r="O41" s="39"/>
    </row>
    <row r="42" customFormat="false" ht="22.5" hidden="false" customHeight="true" outlineLevel="0" collapsed="false">
      <c r="A42" s="36" t="s">
        <v>66</v>
      </c>
      <c r="B42" s="36"/>
      <c r="C42" s="36"/>
      <c r="D42" s="36"/>
      <c r="E42" s="36"/>
      <c r="F42" s="40" t="n">
        <f aca="false">SUM(I4:I34)</f>
        <v>0</v>
      </c>
      <c r="G42" s="40"/>
      <c r="H42" s="40"/>
      <c r="I42" s="40"/>
      <c r="J42" s="40"/>
      <c r="K42" s="40"/>
      <c r="L42" s="40"/>
      <c r="M42" s="40"/>
      <c r="N42" s="40"/>
      <c r="O42" s="40"/>
    </row>
    <row r="43" customFormat="false" ht="22.5" hidden="false" customHeight="true" outlineLevel="0" collapsed="false">
      <c r="A43" s="36" t="s">
        <v>67</v>
      </c>
      <c r="B43" s="36"/>
      <c r="C43" s="36"/>
      <c r="D43" s="36"/>
      <c r="E43" s="36"/>
      <c r="F43" s="40" t="n">
        <f aca="false">SUMIF(L4:L34,"現金",K4:K34)+SUMIF(L4:L34,"個人カード",K4:K34)</f>
        <v>0</v>
      </c>
      <c r="G43" s="40"/>
      <c r="H43" s="40"/>
      <c r="I43" s="40"/>
      <c r="J43" s="40"/>
      <c r="K43" s="40"/>
      <c r="L43" s="40"/>
      <c r="M43" s="40"/>
      <c r="N43" s="40"/>
      <c r="O43" s="40"/>
    </row>
    <row r="44" customFormat="false" ht="22.5" hidden="false" customHeight="true" outlineLevel="0" collapsed="false">
      <c r="A44" s="41" t="s">
        <v>68</v>
      </c>
      <c r="B44" s="41"/>
      <c r="C44" s="41"/>
      <c r="D44" s="41"/>
      <c r="E44" s="41"/>
      <c r="F44" s="42" t="n">
        <f aca="false">SUM(M4:M34)</f>
        <v>0</v>
      </c>
      <c r="G44" s="42"/>
      <c r="H44" s="42"/>
      <c r="I44" s="42"/>
      <c r="J44" s="42"/>
      <c r="K44" s="42"/>
      <c r="L44" s="42"/>
      <c r="M44" s="42"/>
      <c r="N44" s="42"/>
      <c r="O44" s="42"/>
    </row>
    <row r="45" customFormat="false" ht="22.5" hidden="false" customHeight="true" outlineLevel="0" collapsed="false">
      <c r="A45" s="41" t="s">
        <v>69</v>
      </c>
      <c r="B45" s="41"/>
      <c r="C45" s="41"/>
      <c r="D45" s="41"/>
      <c r="E45" s="41"/>
      <c r="F45" s="42" t="n">
        <f aca="false">SUM(O4:O34)</f>
        <v>0</v>
      </c>
      <c r="G45" s="42"/>
      <c r="H45" s="42"/>
      <c r="I45" s="42"/>
      <c r="J45" s="42"/>
      <c r="K45" s="42"/>
      <c r="L45" s="42"/>
      <c r="M45" s="42"/>
      <c r="N45" s="42"/>
      <c r="O45" s="42"/>
    </row>
    <row r="46" customFormat="false" ht="22.5" hidden="false" customHeight="true" outlineLevel="0" collapsed="false">
      <c r="A46" s="43" t="s">
        <v>70</v>
      </c>
      <c r="B46" s="43"/>
      <c r="C46" s="43"/>
      <c r="D46" s="43"/>
      <c r="E46" s="43"/>
      <c r="F46" s="44" t="n">
        <f aca="false">'4月'!F42</f>
        <v>0</v>
      </c>
      <c r="G46" s="44"/>
      <c r="H46" s="44"/>
      <c r="I46" s="44"/>
      <c r="J46" s="44"/>
      <c r="K46" s="44"/>
      <c r="L46" s="44"/>
      <c r="M46" s="44"/>
      <c r="N46" s="44"/>
      <c r="O46" s="44"/>
    </row>
    <row r="47" customFormat="false" ht="22.5" hidden="false" customHeight="true" outlineLevel="0" collapsed="false">
      <c r="A47" s="45" t="s">
        <v>71</v>
      </c>
      <c r="B47" s="45"/>
      <c r="C47" s="45"/>
      <c r="D47" s="45"/>
      <c r="E47" s="45"/>
      <c r="F47" s="46" t="n">
        <f aca="false">F41+F42+F43+F44+F45+F46</f>
        <v>0</v>
      </c>
      <c r="G47" s="46"/>
      <c r="H47" s="46"/>
      <c r="I47" s="46"/>
      <c r="J47" s="46"/>
      <c r="K47" s="46"/>
      <c r="L47" s="46"/>
      <c r="M47" s="46"/>
      <c r="N47" s="46"/>
      <c r="O47" s="46"/>
    </row>
    <row r="49" customFormat="false" ht="13.5" hidden="false" customHeight="true" outlineLevel="0" collapsed="false">
      <c r="A49" s="47" t="s">
        <v>72</v>
      </c>
      <c r="B49" s="47"/>
      <c r="C49" s="48" t="s">
        <v>73</v>
      </c>
      <c r="D49" s="48"/>
      <c r="E49" s="49" t="s">
        <v>74</v>
      </c>
      <c r="F49" s="49"/>
      <c r="G49" s="50" t="s">
        <v>75</v>
      </c>
      <c r="H49" s="50"/>
      <c r="I49" s="51" t="s">
        <v>76</v>
      </c>
      <c r="J49" s="51"/>
      <c r="K49" s="52" t="s">
        <v>108</v>
      </c>
      <c r="L49" s="52"/>
    </row>
    <row r="50" customFormat="false" ht="30" hidden="false" customHeight="true" outlineLevel="0" collapsed="false">
      <c r="A50" s="53" t="s">
        <v>78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</row>
  </sheetData>
  <mergeCells count="36">
    <mergeCell ref="A1:O1"/>
    <mergeCell ref="A2:B2"/>
    <mergeCell ref="C2:F2"/>
    <mergeCell ref="G2:H2"/>
    <mergeCell ref="I2:K2"/>
    <mergeCell ref="L2:O2"/>
    <mergeCell ref="A36:O36"/>
    <mergeCell ref="A37:E37"/>
    <mergeCell ref="F37:O37"/>
    <mergeCell ref="A38:E38"/>
    <mergeCell ref="F38:O38"/>
    <mergeCell ref="A39:E39"/>
    <mergeCell ref="F39:O39"/>
    <mergeCell ref="A40:E40"/>
    <mergeCell ref="F40:O40"/>
    <mergeCell ref="A41:E41"/>
    <mergeCell ref="F41:O41"/>
    <mergeCell ref="A42:E42"/>
    <mergeCell ref="F42:O42"/>
    <mergeCell ref="A43:E43"/>
    <mergeCell ref="F43:O43"/>
    <mergeCell ref="A44:E44"/>
    <mergeCell ref="F44:O44"/>
    <mergeCell ref="A45:E45"/>
    <mergeCell ref="F45:O45"/>
    <mergeCell ref="A46:E46"/>
    <mergeCell ref="F46:O46"/>
    <mergeCell ref="A47:E47"/>
    <mergeCell ref="F47:O47"/>
    <mergeCell ref="A49:B49"/>
    <mergeCell ref="C49:D49"/>
    <mergeCell ref="E49:F49"/>
    <mergeCell ref="G49:H49"/>
    <mergeCell ref="I49:J49"/>
    <mergeCell ref="K49:L49"/>
    <mergeCell ref="A50:O50"/>
  </mergeCells>
  <dataValidations count="1">
    <dataValidation allowBlank="true" error="「現金」「個人カード」「法人カード」から選択してください。" errorStyle="stop" errorTitle="入力エラー" operator="between" showDropDown="false" showErrorMessage="true" showInputMessage="false" sqref="L4:L34" type="list">
      <formula1>"現金,個人カード,法人カード"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pane xSplit="0" ySplit="3" topLeftCell="G4" activePane="bottomLeft" state="frozen"/>
      <selection pane="topLeft" activeCell="G1" activeCellId="0" sqref="G1"/>
      <selection pane="bottom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6.82"/>
    <col collapsed="false" customWidth="true" hidden="false" outlineLevel="0" max="2" min="2" style="0" width="3.81"/>
    <col collapsed="false" customWidth="true" hidden="false" outlineLevel="0" max="4" min="3" style="0" width="11.04"/>
    <col collapsed="false" customWidth="true" hidden="false" outlineLevel="0" max="5" min="5" style="0" width="8.99"/>
    <col collapsed="false" customWidth="true" hidden="false" outlineLevel="0" max="6" min="6" style="0" width="11.04"/>
    <col collapsed="false" customWidth="true" hidden="false" outlineLevel="0" max="7" min="7" style="0" width="14.04"/>
    <col collapsed="false" customWidth="true" hidden="false" outlineLevel="0" max="9" min="8" style="0" width="11.04"/>
    <col collapsed="false" customWidth="true" hidden="false" outlineLevel="0" max="10" min="10" style="0" width="17.99"/>
    <col collapsed="false" customWidth="true" hidden="false" outlineLevel="0" max="11" min="11" style="0" width="12.81"/>
    <col collapsed="false" customWidth="true" hidden="false" outlineLevel="0" max="12" min="12" style="0" width="11.99"/>
    <col collapsed="false" customWidth="true" hidden="false" outlineLevel="0" max="13" min="13" style="0" width="9.82"/>
    <col collapsed="false" customWidth="true" hidden="false" outlineLevel="0" max="14" min="14" style="0" width="15.81"/>
    <col collapsed="false" customWidth="true" hidden="false" outlineLevel="0" max="15" min="15" style="0" width="12.81"/>
  </cols>
  <sheetData>
    <row r="1" customFormat="false" ht="36" hidden="false" customHeight="true" outlineLevel="0" collapsed="false">
      <c r="A1" s="2" t="s">
        <v>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4" hidden="false" customHeight="true" outlineLevel="0" collapsed="false">
      <c r="A2" s="3" t="s">
        <v>3</v>
      </c>
      <c r="B2" s="3"/>
      <c r="C2" s="4" t="s">
        <v>4</v>
      </c>
      <c r="D2" s="4"/>
      <c r="E2" s="4"/>
      <c r="F2" s="4"/>
      <c r="G2" s="3" t="s">
        <v>5</v>
      </c>
      <c r="H2" s="3"/>
      <c r="I2" s="5" t="n">
        <v>1300</v>
      </c>
      <c r="J2" s="5"/>
      <c r="K2" s="5"/>
      <c r="L2" s="6" t="s">
        <v>6</v>
      </c>
      <c r="M2" s="6"/>
      <c r="N2" s="6"/>
      <c r="O2" s="6"/>
    </row>
    <row r="3" customFormat="false" ht="42" hidden="false" customHeight="true" outlineLevel="0" collapsed="false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8" t="s">
        <v>19</v>
      </c>
      <c r="N3" s="8" t="s">
        <v>20</v>
      </c>
      <c r="O3" s="8" t="s">
        <v>21</v>
      </c>
    </row>
    <row r="4" customFormat="false" ht="18.75" hidden="false" customHeight="true" outlineLevel="0" collapsed="false">
      <c r="A4" s="9" t="s">
        <v>205</v>
      </c>
      <c r="B4" s="10" t="s">
        <v>31</v>
      </c>
      <c r="C4" s="11"/>
      <c r="D4" s="11"/>
      <c r="E4" s="12" t="str">
        <f aca="false">IF(AND(C4&lt;&gt;"",D4&lt;&gt;""),IF(D4&gt;=C4,ROUND((D4-C4)*24,2),ROUND((D4-C4+1)*24,2)),"")</f>
        <v/>
      </c>
      <c r="F4" s="13" t="str">
        <f aca="false">IF(E4&lt;&gt;"",ROUND(E4*$I$2,0),"")</f>
        <v/>
      </c>
      <c r="G4" s="14"/>
      <c r="H4" s="15"/>
      <c r="I4" s="16"/>
      <c r="J4" s="14"/>
      <c r="K4" s="16"/>
      <c r="L4" s="15"/>
      <c r="M4" s="17"/>
      <c r="N4" s="18"/>
      <c r="O4" s="17"/>
    </row>
    <row r="5" customFormat="false" ht="18.75" hidden="false" customHeight="true" outlineLevel="0" collapsed="false">
      <c r="A5" s="9" t="s">
        <v>206</v>
      </c>
      <c r="B5" s="10" t="s">
        <v>33</v>
      </c>
      <c r="C5" s="11"/>
      <c r="D5" s="11"/>
      <c r="E5" s="12" t="str">
        <f aca="false">IF(AND(C5&lt;&gt;"",D5&lt;&gt;""),IF(D5&gt;=C5,ROUND((D5-C5)*24,2),ROUND((D5-C5+1)*24,2)),"")</f>
        <v/>
      </c>
      <c r="F5" s="13" t="str">
        <f aca="false">IF(E5&lt;&gt;"",ROUND(E5*$I$2,0),"")</f>
        <v/>
      </c>
      <c r="G5" s="14"/>
      <c r="H5" s="15"/>
      <c r="I5" s="16"/>
      <c r="J5" s="14"/>
      <c r="K5" s="16"/>
      <c r="L5" s="15"/>
      <c r="M5" s="17"/>
      <c r="N5" s="18"/>
      <c r="O5" s="17"/>
    </row>
    <row r="6" customFormat="false" ht="18.75" hidden="false" customHeight="true" outlineLevel="0" collapsed="false">
      <c r="A6" s="9" t="s">
        <v>207</v>
      </c>
      <c r="B6" s="10" t="s">
        <v>35</v>
      </c>
      <c r="C6" s="11"/>
      <c r="D6" s="11"/>
      <c r="E6" s="12" t="str">
        <f aca="false">IF(AND(C6&lt;&gt;"",D6&lt;&gt;""),IF(D6&gt;=C6,ROUND((D6-C6)*24,2),ROUND((D6-C6+1)*24,2)),"")</f>
        <v/>
      </c>
      <c r="F6" s="13" t="str">
        <f aca="false">IF(E6&lt;&gt;"",ROUND(E6*$I$2,0),"")</f>
        <v/>
      </c>
      <c r="G6" s="14"/>
      <c r="H6" s="15"/>
      <c r="I6" s="16"/>
      <c r="J6" s="14"/>
      <c r="K6" s="16"/>
      <c r="L6" s="15"/>
      <c r="M6" s="17"/>
      <c r="N6" s="18"/>
      <c r="O6" s="17"/>
    </row>
    <row r="7" customFormat="false" ht="18.75" hidden="false" customHeight="true" outlineLevel="0" collapsed="false">
      <c r="A7" s="9" t="s">
        <v>208</v>
      </c>
      <c r="B7" s="10" t="s">
        <v>23</v>
      </c>
      <c r="C7" s="11"/>
      <c r="D7" s="11"/>
      <c r="E7" s="12" t="str">
        <f aca="false">IF(AND(C7&lt;&gt;"",D7&lt;&gt;""),IF(D7&gt;=C7,ROUND((D7-C7)*24,2),ROUND((D7-C7+1)*24,2)),"")</f>
        <v/>
      </c>
      <c r="F7" s="13" t="str">
        <f aca="false">IF(E7&lt;&gt;"",ROUND(E7*$I$2,0),"")</f>
        <v/>
      </c>
      <c r="G7" s="14"/>
      <c r="H7" s="15"/>
      <c r="I7" s="16"/>
      <c r="J7" s="14"/>
      <c r="K7" s="16"/>
      <c r="L7" s="15"/>
      <c r="M7" s="17"/>
      <c r="N7" s="18"/>
      <c r="O7" s="17"/>
    </row>
    <row r="8" customFormat="false" ht="18.75" hidden="false" customHeight="true" outlineLevel="0" collapsed="false">
      <c r="A8" s="9" t="s">
        <v>209</v>
      </c>
      <c r="B8" s="10" t="s">
        <v>25</v>
      </c>
      <c r="C8" s="11"/>
      <c r="D8" s="11"/>
      <c r="E8" s="12" t="str">
        <f aca="false">IF(AND(C8&lt;&gt;"",D8&lt;&gt;""),IF(D8&gt;=C8,ROUND((D8-C8)*24,2),ROUND((D8-C8+1)*24,2)),"")</f>
        <v/>
      </c>
      <c r="F8" s="13" t="str">
        <f aca="false">IF(E8&lt;&gt;"",ROUND(E8*$I$2,0),"")</f>
        <v/>
      </c>
      <c r="G8" s="14"/>
      <c r="H8" s="15"/>
      <c r="I8" s="16"/>
      <c r="J8" s="14"/>
      <c r="K8" s="16"/>
      <c r="L8" s="15"/>
      <c r="M8" s="17"/>
      <c r="N8" s="18"/>
      <c r="O8" s="17"/>
    </row>
    <row r="9" customFormat="false" ht="18.75" hidden="false" customHeight="true" outlineLevel="0" collapsed="false">
      <c r="A9" s="19" t="s">
        <v>210</v>
      </c>
      <c r="B9" s="20" t="s">
        <v>27</v>
      </c>
      <c r="C9" s="21"/>
      <c r="D9" s="21"/>
      <c r="E9" s="22" t="str">
        <f aca="false">IF(AND(C9&lt;&gt;"",D9&lt;&gt;""),IF(D9&gt;=C9,ROUND((D9-C9)*24,2),ROUND((D9-C9+1)*24,2)),"")</f>
        <v/>
      </c>
      <c r="F9" s="23" t="str">
        <f aca="false">IF(E9&lt;&gt;"",ROUND(E9*$I$2,0),"")</f>
        <v/>
      </c>
      <c r="G9" s="24"/>
      <c r="H9" s="25"/>
      <c r="I9" s="23"/>
      <c r="J9" s="24"/>
      <c r="K9" s="23"/>
      <c r="L9" s="25"/>
      <c r="M9" s="23"/>
      <c r="N9" s="24"/>
      <c r="O9" s="23"/>
    </row>
    <row r="10" customFormat="false" ht="18.75" hidden="false" customHeight="true" outlineLevel="0" collapsed="false">
      <c r="A10" s="26" t="s">
        <v>211</v>
      </c>
      <c r="B10" s="27" t="s">
        <v>29</v>
      </c>
      <c r="C10" s="28"/>
      <c r="D10" s="28"/>
      <c r="E10" s="29" t="str">
        <f aca="false">IF(AND(C10&lt;&gt;"",D10&lt;&gt;""),IF(D10&gt;=C10,ROUND((D10-C10)*24,2),ROUND((D10-C10+1)*24,2)),"")</f>
        <v/>
      </c>
      <c r="F10" s="30" t="str">
        <f aca="false">IF(E10&lt;&gt;"",ROUND(E10*$I$2,0),"")</f>
        <v/>
      </c>
      <c r="G10" s="31"/>
      <c r="H10" s="32"/>
      <c r="I10" s="30"/>
      <c r="J10" s="31"/>
      <c r="K10" s="30"/>
      <c r="L10" s="32"/>
      <c r="M10" s="30"/>
      <c r="N10" s="31"/>
      <c r="O10" s="30"/>
    </row>
    <row r="11" customFormat="false" ht="18.75" hidden="false" customHeight="true" outlineLevel="0" collapsed="false">
      <c r="A11" s="9" t="s">
        <v>212</v>
      </c>
      <c r="B11" s="10" t="s">
        <v>31</v>
      </c>
      <c r="C11" s="11"/>
      <c r="D11" s="11"/>
      <c r="E11" s="12" t="str">
        <f aca="false">IF(AND(C11&lt;&gt;"",D11&lt;&gt;""),IF(D11&gt;=C11,ROUND((D11-C11)*24,2),ROUND((D11-C11+1)*24,2)),"")</f>
        <v/>
      </c>
      <c r="F11" s="13" t="str">
        <f aca="false">IF(E11&lt;&gt;"",ROUND(E11*$I$2,0),"")</f>
        <v/>
      </c>
      <c r="G11" s="14"/>
      <c r="H11" s="15"/>
      <c r="I11" s="16"/>
      <c r="J11" s="14"/>
      <c r="K11" s="16"/>
      <c r="L11" s="15"/>
      <c r="M11" s="17"/>
      <c r="N11" s="18"/>
      <c r="O11" s="17"/>
    </row>
    <row r="12" customFormat="false" ht="18.75" hidden="false" customHeight="true" outlineLevel="0" collapsed="false">
      <c r="A12" s="9" t="s">
        <v>213</v>
      </c>
      <c r="B12" s="10" t="s">
        <v>33</v>
      </c>
      <c r="C12" s="11"/>
      <c r="D12" s="11"/>
      <c r="E12" s="12" t="str">
        <f aca="false">IF(AND(C12&lt;&gt;"",D12&lt;&gt;""),IF(D12&gt;=C12,ROUND((D12-C12)*24,2),ROUND((D12-C12+1)*24,2)),"")</f>
        <v/>
      </c>
      <c r="F12" s="13" t="str">
        <f aca="false">IF(E12&lt;&gt;"",ROUND(E12*$I$2,0),"")</f>
        <v/>
      </c>
      <c r="G12" s="14"/>
      <c r="H12" s="15"/>
      <c r="I12" s="16"/>
      <c r="J12" s="14"/>
      <c r="K12" s="16"/>
      <c r="L12" s="15"/>
      <c r="M12" s="17"/>
      <c r="N12" s="18"/>
      <c r="O12" s="17"/>
    </row>
    <row r="13" customFormat="false" ht="18.75" hidden="false" customHeight="true" outlineLevel="0" collapsed="false">
      <c r="A13" s="9" t="s">
        <v>214</v>
      </c>
      <c r="B13" s="10" t="s">
        <v>35</v>
      </c>
      <c r="C13" s="11"/>
      <c r="D13" s="11"/>
      <c r="E13" s="12" t="str">
        <f aca="false">IF(AND(C13&lt;&gt;"",D13&lt;&gt;""),IF(D13&gt;=C13,ROUND((D13-C13)*24,2),ROUND((D13-C13+1)*24,2)),"")</f>
        <v/>
      </c>
      <c r="F13" s="13" t="str">
        <f aca="false">IF(E13&lt;&gt;"",ROUND(E13*$I$2,0),"")</f>
        <v/>
      </c>
      <c r="G13" s="14"/>
      <c r="H13" s="15"/>
      <c r="I13" s="16"/>
      <c r="J13" s="14"/>
      <c r="K13" s="16"/>
      <c r="L13" s="15"/>
      <c r="M13" s="17"/>
      <c r="N13" s="18"/>
      <c r="O13" s="17"/>
    </row>
    <row r="14" customFormat="false" ht="18.75" hidden="false" customHeight="true" outlineLevel="0" collapsed="false">
      <c r="A14" s="9" t="s">
        <v>215</v>
      </c>
      <c r="B14" s="10" t="s">
        <v>23</v>
      </c>
      <c r="C14" s="11"/>
      <c r="D14" s="11"/>
      <c r="E14" s="12" t="str">
        <f aca="false">IF(AND(C14&lt;&gt;"",D14&lt;&gt;""),IF(D14&gt;=C14,ROUND((D14-C14)*24,2),ROUND((D14-C14+1)*24,2)),"")</f>
        <v/>
      </c>
      <c r="F14" s="13" t="str">
        <f aca="false">IF(E14&lt;&gt;"",ROUND(E14*$I$2,0),"")</f>
        <v/>
      </c>
      <c r="G14" s="14"/>
      <c r="H14" s="15"/>
      <c r="I14" s="16"/>
      <c r="J14" s="14"/>
      <c r="K14" s="16"/>
      <c r="L14" s="15"/>
      <c r="M14" s="17"/>
      <c r="N14" s="18"/>
      <c r="O14" s="17"/>
    </row>
    <row r="15" customFormat="false" ht="18.75" hidden="false" customHeight="true" outlineLevel="0" collapsed="false">
      <c r="A15" s="9" t="s">
        <v>216</v>
      </c>
      <c r="B15" s="10" t="s">
        <v>25</v>
      </c>
      <c r="C15" s="11"/>
      <c r="D15" s="11"/>
      <c r="E15" s="12" t="str">
        <f aca="false">IF(AND(C15&lt;&gt;"",D15&lt;&gt;""),IF(D15&gt;=C15,ROUND((D15-C15)*24,2),ROUND((D15-C15+1)*24,2)),"")</f>
        <v/>
      </c>
      <c r="F15" s="13" t="str">
        <f aca="false">IF(E15&lt;&gt;"",ROUND(E15*$I$2,0),"")</f>
        <v/>
      </c>
      <c r="G15" s="14"/>
      <c r="H15" s="15"/>
      <c r="I15" s="16"/>
      <c r="J15" s="14"/>
      <c r="K15" s="16"/>
      <c r="L15" s="15"/>
      <c r="M15" s="17"/>
      <c r="N15" s="18"/>
      <c r="O15" s="17"/>
    </row>
    <row r="16" customFormat="false" ht="18.75" hidden="false" customHeight="true" outlineLevel="0" collapsed="false">
      <c r="A16" s="19" t="s">
        <v>217</v>
      </c>
      <c r="B16" s="20" t="s">
        <v>27</v>
      </c>
      <c r="C16" s="21"/>
      <c r="D16" s="21"/>
      <c r="E16" s="22" t="str">
        <f aca="false">IF(AND(C16&lt;&gt;"",D16&lt;&gt;""),IF(D16&gt;=C16,ROUND((D16-C16)*24,2),ROUND((D16-C16+1)*24,2)),"")</f>
        <v/>
      </c>
      <c r="F16" s="23" t="str">
        <f aca="false">IF(E16&lt;&gt;"",ROUND(E16*$I$2,0),"")</f>
        <v/>
      </c>
      <c r="G16" s="24"/>
      <c r="H16" s="25"/>
      <c r="I16" s="23"/>
      <c r="J16" s="24"/>
      <c r="K16" s="23"/>
      <c r="L16" s="25"/>
      <c r="M16" s="23"/>
      <c r="N16" s="24"/>
      <c r="O16" s="23"/>
    </row>
    <row r="17" customFormat="false" ht="18.75" hidden="false" customHeight="true" outlineLevel="0" collapsed="false">
      <c r="A17" s="26" t="s">
        <v>218</v>
      </c>
      <c r="B17" s="27" t="s">
        <v>29</v>
      </c>
      <c r="C17" s="28"/>
      <c r="D17" s="28"/>
      <c r="E17" s="29" t="str">
        <f aca="false">IF(AND(C17&lt;&gt;"",D17&lt;&gt;""),IF(D17&gt;=C17,ROUND((D17-C17)*24,2),ROUND((D17-C17+1)*24,2)),"")</f>
        <v/>
      </c>
      <c r="F17" s="30" t="str">
        <f aca="false">IF(E17&lt;&gt;"",ROUND(E17*$I$2,0),"")</f>
        <v/>
      </c>
      <c r="G17" s="31"/>
      <c r="H17" s="32"/>
      <c r="I17" s="30"/>
      <c r="J17" s="31"/>
      <c r="K17" s="30"/>
      <c r="L17" s="32"/>
      <c r="M17" s="30"/>
      <c r="N17" s="31"/>
      <c r="O17" s="30"/>
    </row>
    <row r="18" customFormat="false" ht="18.75" hidden="false" customHeight="true" outlineLevel="0" collapsed="false">
      <c r="A18" s="9" t="s">
        <v>219</v>
      </c>
      <c r="B18" s="10" t="s">
        <v>31</v>
      </c>
      <c r="C18" s="11"/>
      <c r="D18" s="11"/>
      <c r="E18" s="12" t="str">
        <f aca="false">IF(AND(C18&lt;&gt;"",D18&lt;&gt;""),IF(D18&gt;=C18,ROUND((D18-C18)*24,2),ROUND((D18-C18+1)*24,2)),"")</f>
        <v/>
      </c>
      <c r="F18" s="13" t="str">
        <f aca="false">IF(E18&lt;&gt;"",ROUND(E18*$I$2,0),"")</f>
        <v/>
      </c>
      <c r="G18" s="14"/>
      <c r="H18" s="15"/>
      <c r="I18" s="16"/>
      <c r="J18" s="14"/>
      <c r="K18" s="16"/>
      <c r="L18" s="15"/>
      <c r="M18" s="17"/>
      <c r="N18" s="18"/>
      <c r="O18" s="17"/>
    </row>
    <row r="19" customFormat="false" ht="18.75" hidden="false" customHeight="true" outlineLevel="0" collapsed="false">
      <c r="A19" s="9" t="s">
        <v>220</v>
      </c>
      <c r="B19" s="10" t="s">
        <v>33</v>
      </c>
      <c r="C19" s="11"/>
      <c r="D19" s="11"/>
      <c r="E19" s="12" t="str">
        <f aca="false">IF(AND(C19&lt;&gt;"",D19&lt;&gt;""),IF(D19&gt;=C19,ROUND((D19-C19)*24,2),ROUND((D19-C19+1)*24,2)),"")</f>
        <v/>
      </c>
      <c r="F19" s="13" t="str">
        <f aca="false">IF(E19&lt;&gt;"",ROUND(E19*$I$2,0),"")</f>
        <v/>
      </c>
      <c r="G19" s="14"/>
      <c r="H19" s="15"/>
      <c r="I19" s="16"/>
      <c r="J19" s="14"/>
      <c r="K19" s="16"/>
      <c r="L19" s="15"/>
      <c r="M19" s="17"/>
      <c r="N19" s="18"/>
      <c r="O19" s="17"/>
    </row>
    <row r="20" customFormat="false" ht="18.75" hidden="false" customHeight="true" outlineLevel="0" collapsed="false">
      <c r="A20" s="9" t="s">
        <v>221</v>
      </c>
      <c r="B20" s="10" t="s">
        <v>35</v>
      </c>
      <c r="C20" s="11"/>
      <c r="D20" s="11"/>
      <c r="E20" s="12" t="str">
        <f aca="false">IF(AND(C20&lt;&gt;"",D20&lt;&gt;""),IF(D20&gt;=C20,ROUND((D20-C20)*24,2),ROUND((D20-C20+1)*24,2)),"")</f>
        <v/>
      </c>
      <c r="F20" s="13" t="str">
        <f aca="false">IF(E20&lt;&gt;"",ROUND(E20*$I$2,0),"")</f>
        <v/>
      </c>
      <c r="G20" s="14"/>
      <c r="H20" s="15"/>
      <c r="I20" s="16"/>
      <c r="J20" s="14"/>
      <c r="K20" s="16"/>
      <c r="L20" s="15"/>
      <c r="M20" s="17"/>
      <c r="N20" s="18"/>
      <c r="O20" s="17"/>
    </row>
    <row r="21" customFormat="false" ht="18.75" hidden="false" customHeight="true" outlineLevel="0" collapsed="false">
      <c r="A21" s="9" t="s">
        <v>222</v>
      </c>
      <c r="B21" s="10" t="s">
        <v>23</v>
      </c>
      <c r="C21" s="11"/>
      <c r="D21" s="11"/>
      <c r="E21" s="12" t="str">
        <f aca="false">IF(AND(C21&lt;&gt;"",D21&lt;&gt;""),IF(D21&gt;=C21,ROUND((D21-C21)*24,2),ROUND((D21-C21+1)*24,2)),"")</f>
        <v/>
      </c>
      <c r="F21" s="13" t="str">
        <f aca="false">IF(E21&lt;&gt;"",ROUND(E21*$I$2,0),"")</f>
        <v/>
      </c>
      <c r="G21" s="14"/>
      <c r="H21" s="15"/>
      <c r="I21" s="16"/>
      <c r="J21" s="14"/>
      <c r="K21" s="16"/>
      <c r="L21" s="15"/>
      <c r="M21" s="17"/>
      <c r="N21" s="18"/>
      <c r="O21" s="17"/>
    </row>
    <row r="22" customFormat="false" ht="18.75" hidden="false" customHeight="true" outlineLevel="0" collapsed="false">
      <c r="A22" s="9" t="s">
        <v>223</v>
      </c>
      <c r="B22" s="10" t="s">
        <v>25</v>
      </c>
      <c r="C22" s="11"/>
      <c r="D22" s="11"/>
      <c r="E22" s="12" t="str">
        <f aca="false">IF(AND(C22&lt;&gt;"",D22&lt;&gt;""),IF(D22&gt;=C22,ROUND((D22-C22)*24,2),ROUND((D22-C22+1)*24,2)),"")</f>
        <v/>
      </c>
      <c r="F22" s="13" t="str">
        <f aca="false">IF(E22&lt;&gt;"",ROUND(E22*$I$2,0),"")</f>
        <v/>
      </c>
      <c r="G22" s="14"/>
      <c r="H22" s="15"/>
      <c r="I22" s="16"/>
      <c r="J22" s="14"/>
      <c r="K22" s="16"/>
      <c r="L22" s="15"/>
      <c r="M22" s="17"/>
      <c r="N22" s="18"/>
      <c r="O22" s="17"/>
    </row>
    <row r="23" customFormat="false" ht="18.75" hidden="false" customHeight="true" outlineLevel="0" collapsed="false">
      <c r="A23" s="19" t="s">
        <v>224</v>
      </c>
      <c r="B23" s="20" t="s">
        <v>27</v>
      </c>
      <c r="C23" s="21"/>
      <c r="D23" s="21"/>
      <c r="E23" s="22" t="str">
        <f aca="false">IF(AND(C23&lt;&gt;"",D23&lt;&gt;""),IF(D23&gt;=C23,ROUND((D23-C23)*24,2),ROUND((D23-C23+1)*24,2)),"")</f>
        <v/>
      </c>
      <c r="F23" s="23" t="str">
        <f aca="false">IF(E23&lt;&gt;"",ROUND(E23*$I$2,0),"")</f>
        <v/>
      </c>
      <c r="G23" s="24"/>
      <c r="H23" s="25"/>
      <c r="I23" s="23"/>
      <c r="J23" s="24"/>
      <c r="K23" s="23"/>
      <c r="L23" s="25"/>
      <c r="M23" s="23"/>
      <c r="N23" s="24"/>
      <c r="O23" s="23"/>
    </row>
    <row r="24" customFormat="false" ht="18.75" hidden="false" customHeight="true" outlineLevel="0" collapsed="false">
      <c r="A24" s="26" t="s">
        <v>225</v>
      </c>
      <c r="B24" s="27" t="s">
        <v>29</v>
      </c>
      <c r="C24" s="28"/>
      <c r="D24" s="28"/>
      <c r="E24" s="29" t="str">
        <f aca="false">IF(AND(C24&lt;&gt;"",D24&lt;&gt;""),IF(D24&gt;=C24,ROUND((D24-C24)*24,2),ROUND((D24-C24+1)*24,2)),"")</f>
        <v/>
      </c>
      <c r="F24" s="30" t="str">
        <f aca="false">IF(E24&lt;&gt;"",ROUND(E24*$I$2,0),"")</f>
        <v/>
      </c>
      <c r="G24" s="31"/>
      <c r="H24" s="32"/>
      <c r="I24" s="30"/>
      <c r="J24" s="31"/>
      <c r="K24" s="30"/>
      <c r="L24" s="32"/>
      <c r="M24" s="30"/>
      <c r="N24" s="31"/>
      <c r="O24" s="30"/>
    </row>
    <row r="25" customFormat="false" ht="18.75" hidden="false" customHeight="true" outlineLevel="0" collapsed="false">
      <c r="A25" s="9" t="s">
        <v>226</v>
      </c>
      <c r="B25" s="10" t="s">
        <v>31</v>
      </c>
      <c r="C25" s="11"/>
      <c r="D25" s="11"/>
      <c r="E25" s="12" t="str">
        <f aca="false">IF(AND(C25&lt;&gt;"",D25&lt;&gt;""),IF(D25&gt;=C25,ROUND((D25-C25)*24,2),ROUND((D25-C25+1)*24,2)),"")</f>
        <v/>
      </c>
      <c r="F25" s="13" t="str">
        <f aca="false">IF(E25&lt;&gt;"",ROUND(E25*$I$2,0),"")</f>
        <v/>
      </c>
      <c r="G25" s="14"/>
      <c r="H25" s="15"/>
      <c r="I25" s="16"/>
      <c r="J25" s="14"/>
      <c r="K25" s="16"/>
      <c r="L25" s="15"/>
      <c r="M25" s="17"/>
      <c r="N25" s="18"/>
      <c r="O25" s="17"/>
    </row>
    <row r="26" customFormat="false" ht="18.75" hidden="false" customHeight="true" outlineLevel="0" collapsed="false">
      <c r="A26" s="9" t="s">
        <v>227</v>
      </c>
      <c r="B26" s="10" t="s">
        <v>33</v>
      </c>
      <c r="C26" s="11"/>
      <c r="D26" s="11"/>
      <c r="E26" s="12" t="str">
        <f aca="false">IF(AND(C26&lt;&gt;"",D26&lt;&gt;""),IF(D26&gt;=C26,ROUND((D26-C26)*24,2),ROUND((D26-C26+1)*24,2)),"")</f>
        <v/>
      </c>
      <c r="F26" s="13" t="str">
        <f aca="false">IF(E26&lt;&gt;"",ROUND(E26*$I$2,0),"")</f>
        <v/>
      </c>
      <c r="G26" s="14"/>
      <c r="H26" s="15"/>
      <c r="I26" s="16"/>
      <c r="J26" s="14"/>
      <c r="K26" s="16"/>
      <c r="L26" s="15"/>
      <c r="M26" s="17"/>
      <c r="N26" s="18"/>
      <c r="O26" s="17"/>
    </row>
    <row r="27" customFormat="false" ht="18.75" hidden="false" customHeight="true" outlineLevel="0" collapsed="false">
      <c r="A27" s="9" t="s">
        <v>228</v>
      </c>
      <c r="B27" s="10" t="s">
        <v>35</v>
      </c>
      <c r="C27" s="11"/>
      <c r="D27" s="11"/>
      <c r="E27" s="12" t="str">
        <f aca="false">IF(AND(C27&lt;&gt;"",D27&lt;&gt;""),IF(D27&gt;=C27,ROUND((D27-C27)*24,2),ROUND((D27-C27+1)*24,2)),"")</f>
        <v/>
      </c>
      <c r="F27" s="13" t="str">
        <f aca="false">IF(E27&lt;&gt;"",ROUND(E27*$I$2,0),"")</f>
        <v/>
      </c>
      <c r="G27" s="14"/>
      <c r="H27" s="15"/>
      <c r="I27" s="16"/>
      <c r="J27" s="14"/>
      <c r="K27" s="16"/>
      <c r="L27" s="15"/>
      <c r="M27" s="17"/>
      <c r="N27" s="18"/>
      <c r="O27" s="17"/>
    </row>
    <row r="28" customFormat="false" ht="18.75" hidden="false" customHeight="true" outlineLevel="0" collapsed="false">
      <c r="A28" s="9" t="s">
        <v>229</v>
      </c>
      <c r="B28" s="10" t="s">
        <v>23</v>
      </c>
      <c r="C28" s="11"/>
      <c r="D28" s="11"/>
      <c r="E28" s="12" t="str">
        <f aca="false">IF(AND(C28&lt;&gt;"",D28&lt;&gt;""),IF(D28&gt;=C28,ROUND((D28-C28)*24,2),ROUND((D28-C28+1)*24,2)),"")</f>
        <v/>
      </c>
      <c r="F28" s="13" t="str">
        <f aca="false">IF(E28&lt;&gt;"",ROUND(E28*$I$2,0),"")</f>
        <v/>
      </c>
      <c r="G28" s="14"/>
      <c r="H28" s="15"/>
      <c r="I28" s="16"/>
      <c r="J28" s="14"/>
      <c r="K28" s="16"/>
      <c r="L28" s="15"/>
      <c r="M28" s="17"/>
      <c r="N28" s="18"/>
      <c r="O28" s="17"/>
    </row>
    <row r="29" customFormat="false" ht="18.75" hidden="false" customHeight="true" outlineLevel="0" collapsed="false">
      <c r="A29" s="9" t="s">
        <v>230</v>
      </c>
      <c r="B29" s="10" t="s">
        <v>25</v>
      </c>
      <c r="C29" s="11"/>
      <c r="D29" s="11"/>
      <c r="E29" s="12" t="str">
        <f aca="false">IF(AND(C29&lt;&gt;"",D29&lt;&gt;""),IF(D29&gt;=C29,ROUND((D29-C29)*24,2),ROUND((D29-C29+1)*24,2)),"")</f>
        <v/>
      </c>
      <c r="F29" s="13" t="str">
        <f aca="false">IF(E29&lt;&gt;"",ROUND(E29*$I$2,0),"")</f>
        <v/>
      </c>
      <c r="G29" s="14"/>
      <c r="H29" s="15"/>
      <c r="I29" s="16"/>
      <c r="J29" s="14"/>
      <c r="K29" s="16"/>
      <c r="L29" s="15"/>
      <c r="M29" s="17"/>
      <c r="N29" s="18"/>
      <c r="O29" s="17"/>
    </row>
    <row r="30" customFormat="false" ht="18.75" hidden="false" customHeight="true" outlineLevel="0" collapsed="false">
      <c r="A30" s="19" t="s">
        <v>231</v>
      </c>
      <c r="B30" s="20" t="s">
        <v>27</v>
      </c>
      <c r="C30" s="21"/>
      <c r="D30" s="21"/>
      <c r="E30" s="22" t="str">
        <f aca="false">IF(AND(C30&lt;&gt;"",D30&lt;&gt;""),IF(D30&gt;=C30,ROUND((D30-C30)*24,2),ROUND((D30-C30+1)*24,2)),"")</f>
        <v/>
      </c>
      <c r="F30" s="23" t="str">
        <f aca="false">IF(E30&lt;&gt;"",ROUND(E30*$I$2,0),"")</f>
        <v/>
      </c>
      <c r="G30" s="24"/>
      <c r="H30" s="25"/>
      <c r="I30" s="23"/>
      <c r="J30" s="24"/>
      <c r="K30" s="23"/>
      <c r="L30" s="25"/>
      <c r="M30" s="23"/>
      <c r="N30" s="24"/>
      <c r="O30" s="23"/>
    </row>
    <row r="31" customFormat="false" ht="18.75" hidden="false" customHeight="true" outlineLevel="0" collapsed="false">
      <c r="A31" s="26" t="s">
        <v>232</v>
      </c>
      <c r="B31" s="27" t="s">
        <v>29</v>
      </c>
      <c r="C31" s="28"/>
      <c r="D31" s="28"/>
      <c r="E31" s="29" t="str">
        <f aca="false">IF(AND(C31&lt;&gt;"",D31&lt;&gt;""),IF(D31&gt;=C31,ROUND((D31-C31)*24,2),ROUND((D31-C31+1)*24,2)),"")</f>
        <v/>
      </c>
      <c r="F31" s="30" t="str">
        <f aca="false">IF(E31&lt;&gt;"",ROUND(E31*$I$2,0),"")</f>
        <v/>
      </c>
      <c r="G31" s="31"/>
      <c r="H31" s="32"/>
      <c r="I31" s="30"/>
      <c r="J31" s="31"/>
      <c r="K31" s="30"/>
      <c r="L31" s="32"/>
      <c r="M31" s="30"/>
      <c r="N31" s="31"/>
      <c r="O31" s="30"/>
    </row>
    <row r="32" customFormat="false" ht="18.75" hidden="false" customHeight="true" outlineLevel="0" collapsed="false">
      <c r="A32" s="9" t="s">
        <v>233</v>
      </c>
      <c r="B32" s="10" t="s">
        <v>31</v>
      </c>
      <c r="C32" s="11"/>
      <c r="D32" s="11"/>
      <c r="E32" s="12" t="str">
        <f aca="false">IF(AND(C32&lt;&gt;"",D32&lt;&gt;""),IF(D32&gt;=C32,ROUND((D32-C32)*24,2),ROUND((D32-C32+1)*24,2)),"")</f>
        <v/>
      </c>
      <c r="F32" s="13" t="str">
        <f aca="false">IF(E32&lt;&gt;"",ROUND(E32*$I$2,0),"")</f>
        <v/>
      </c>
      <c r="G32" s="14"/>
      <c r="H32" s="15"/>
      <c r="I32" s="16"/>
      <c r="J32" s="14"/>
      <c r="K32" s="16"/>
      <c r="L32" s="15"/>
      <c r="M32" s="17"/>
      <c r="N32" s="18"/>
      <c r="O32" s="17"/>
    </row>
    <row r="33" customFormat="false" ht="18.75" hidden="false" customHeight="true" outlineLevel="0" collapsed="false">
      <c r="A33" s="9" t="s">
        <v>234</v>
      </c>
      <c r="B33" s="10" t="s">
        <v>33</v>
      </c>
      <c r="C33" s="11"/>
      <c r="D33" s="11"/>
      <c r="E33" s="12" t="str">
        <f aca="false">IF(AND(C33&lt;&gt;"",D33&lt;&gt;""),IF(D33&gt;=C33,ROUND((D33-C33)*24,2),ROUND((D33-C33+1)*24,2)),"")</f>
        <v/>
      </c>
      <c r="F33" s="13" t="str">
        <f aca="false">IF(E33&lt;&gt;"",ROUND(E33*$I$2,0),"")</f>
        <v/>
      </c>
      <c r="G33" s="14"/>
      <c r="H33" s="15"/>
      <c r="I33" s="16"/>
      <c r="J33" s="14"/>
      <c r="K33" s="16"/>
      <c r="L33" s="15"/>
      <c r="M33" s="17"/>
      <c r="N33" s="18"/>
      <c r="O33" s="17"/>
    </row>
    <row r="34" customFormat="false" ht="3.75" hidden="false" customHeight="true" outlineLevel="0" collapsed="false"/>
    <row r="35" customFormat="false" ht="25.5" hidden="false" customHeight="true" outlineLevel="0" collapsed="false">
      <c r="A35" s="33" t="s">
        <v>60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</row>
    <row r="36" customFormat="false" ht="22.5" hidden="false" customHeight="true" outlineLevel="0" collapsed="false">
      <c r="A36" s="34" t="s">
        <v>61</v>
      </c>
      <c r="B36" s="34"/>
      <c r="C36" s="34"/>
      <c r="D36" s="34"/>
      <c r="E36" s="34"/>
      <c r="F36" s="35" t="n">
        <f aca="false">COUNT(E4:E33)</f>
        <v>0</v>
      </c>
      <c r="G36" s="35"/>
      <c r="H36" s="35"/>
      <c r="I36" s="35"/>
      <c r="J36" s="35"/>
      <c r="K36" s="35"/>
      <c r="L36" s="35"/>
      <c r="M36" s="35"/>
      <c r="N36" s="35"/>
      <c r="O36" s="35"/>
    </row>
    <row r="37" customFormat="false" ht="22.5" hidden="false" customHeight="true" outlineLevel="0" collapsed="false">
      <c r="A37" s="36" t="s">
        <v>62</v>
      </c>
      <c r="B37" s="36"/>
      <c r="C37" s="36"/>
      <c r="D37" s="36"/>
      <c r="E37" s="36"/>
      <c r="F37" s="37" t="n">
        <f aca="false">SUM(E4:E33)</f>
        <v>0</v>
      </c>
      <c r="G37" s="37"/>
      <c r="H37" s="37"/>
      <c r="I37" s="37"/>
      <c r="J37" s="37"/>
      <c r="K37" s="37"/>
      <c r="L37" s="37"/>
      <c r="M37" s="37"/>
      <c r="N37" s="37"/>
      <c r="O37" s="37"/>
    </row>
    <row r="38" customFormat="false" ht="22.5" hidden="false" customHeight="true" outlineLevel="0" collapsed="false">
      <c r="A38" s="38" t="s">
        <v>63</v>
      </c>
      <c r="B38" s="38"/>
      <c r="C38" s="38"/>
      <c r="D38" s="38"/>
      <c r="E38" s="38"/>
      <c r="F38" s="39" t="n">
        <f aca="false">SUM(F4:F33)</f>
        <v>0</v>
      </c>
      <c r="G38" s="39"/>
      <c r="H38" s="39"/>
      <c r="I38" s="39"/>
      <c r="J38" s="39"/>
      <c r="K38" s="39"/>
      <c r="L38" s="39"/>
      <c r="M38" s="39"/>
      <c r="N38" s="39"/>
      <c r="O38" s="39"/>
    </row>
    <row r="39" customFormat="false" ht="22.5" hidden="false" customHeight="true" outlineLevel="0" collapsed="false">
      <c r="A39" s="36" t="s">
        <v>64</v>
      </c>
      <c r="B39" s="36"/>
      <c r="C39" s="36"/>
      <c r="D39" s="36"/>
      <c r="E39" s="36"/>
      <c r="F39" s="40" t="n">
        <f aca="false">IF(F38=0,0,IFERROR(VLOOKUP(F38,税額表!$A$2:$B$74,2,TRUE()),0))</f>
        <v>0</v>
      </c>
      <c r="G39" s="40"/>
      <c r="H39" s="40"/>
      <c r="I39" s="40"/>
      <c r="J39" s="40"/>
      <c r="K39" s="40"/>
      <c r="L39" s="40"/>
      <c r="M39" s="40"/>
      <c r="N39" s="40"/>
      <c r="O39" s="40"/>
    </row>
    <row r="40" customFormat="false" ht="22.5" hidden="false" customHeight="true" outlineLevel="0" collapsed="false">
      <c r="A40" s="38" t="s">
        <v>65</v>
      </c>
      <c r="B40" s="38"/>
      <c r="C40" s="38"/>
      <c r="D40" s="38"/>
      <c r="E40" s="38"/>
      <c r="F40" s="39" t="n">
        <f aca="false">F38-F39</f>
        <v>0</v>
      </c>
      <c r="G40" s="39"/>
      <c r="H40" s="39"/>
      <c r="I40" s="39"/>
      <c r="J40" s="39"/>
      <c r="K40" s="39"/>
      <c r="L40" s="39"/>
      <c r="M40" s="39"/>
      <c r="N40" s="39"/>
      <c r="O40" s="39"/>
    </row>
    <row r="41" customFormat="false" ht="22.5" hidden="false" customHeight="true" outlineLevel="0" collapsed="false">
      <c r="A41" s="36" t="s">
        <v>66</v>
      </c>
      <c r="B41" s="36"/>
      <c r="C41" s="36"/>
      <c r="D41" s="36"/>
      <c r="E41" s="36"/>
      <c r="F41" s="40" t="n">
        <f aca="false">SUM(I4:I33)</f>
        <v>0</v>
      </c>
      <c r="G41" s="40"/>
      <c r="H41" s="40"/>
      <c r="I41" s="40"/>
      <c r="J41" s="40"/>
      <c r="K41" s="40"/>
      <c r="L41" s="40"/>
      <c r="M41" s="40"/>
      <c r="N41" s="40"/>
      <c r="O41" s="40"/>
    </row>
    <row r="42" customFormat="false" ht="22.5" hidden="false" customHeight="true" outlineLevel="0" collapsed="false">
      <c r="A42" s="36" t="s">
        <v>67</v>
      </c>
      <c r="B42" s="36"/>
      <c r="C42" s="36"/>
      <c r="D42" s="36"/>
      <c r="E42" s="36"/>
      <c r="F42" s="40" t="n">
        <f aca="false">SUMIF(L4:L33,"現金",K4:K33)+SUMIF(L4:L33,"個人カード",K4:K33)</f>
        <v>0</v>
      </c>
      <c r="G42" s="40"/>
      <c r="H42" s="40"/>
      <c r="I42" s="40"/>
      <c r="J42" s="40"/>
      <c r="K42" s="40"/>
      <c r="L42" s="40"/>
      <c r="M42" s="40"/>
      <c r="N42" s="40"/>
      <c r="O42" s="40"/>
    </row>
    <row r="43" customFormat="false" ht="22.5" hidden="false" customHeight="true" outlineLevel="0" collapsed="false">
      <c r="A43" s="41" t="s">
        <v>68</v>
      </c>
      <c r="B43" s="41"/>
      <c r="C43" s="41"/>
      <c r="D43" s="41"/>
      <c r="E43" s="41"/>
      <c r="F43" s="42" t="n">
        <f aca="false">SUM(M4:M33)</f>
        <v>0</v>
      </c>
      <c r="G43" s="42"/>
      <c r="H43" s="42"/>
      <c r="I43" s="42"/>
      <c r="J43" s="42"/>
      <c r="K43" s="42"/>
      <c r="L43" s="42"/>
      <c r="M43" s="42"/>
      <c r="N43" s="42"/>
      <c r="O43" s="42"/>
    </row>
    <row r="44" customFormat="false" ht="22.5" hidden="false" customHeight="true" outlineLevel="0" collapsed="false">
      <c r="A44" s="41" t="s">
        <v>69</v>
      </c>
      <c r="B44" s="41"/>
      <c r="C44" s="41"/>
      <c r="D44" s="41"/>
      <c r="E44" s="41"/>
      <c r="F44" s="42" t="n">
        <f aca="false">SUM(O4:O33)</f>
        <v>0</v>
      </c>
      <c r="G44" s="42"/>
      <c r="H44" s="42"/>
      <c r="I44" s="42"/>
      <c r="J44" s="42"/>
      <c r="K44" s="42"/>
      <c r="L44" s="42"/>
      <c r="M44" s="42"/>
      <c r="N44" s="42"/>
      <c r="O44" s="42"/>
    </row>
    <row r="45" customFormat="false" ht="22.5" hidden="false" customHeight="true" outlineLevel="0" collapsed="false">
      <c r="A45" s="43" t="s">
        <v>70</v>
      </c>
      <c r="B45" s="43"/>
      <c r="C45" s="43"/>
      <c r="D45" s="43"/>
      <c r="E45" s="43"/>
      <c r="F45" s="44" t="n">
        <f aca="false">'5月'!F43</f>
        <v>0</v>
      </c>
      <c r="G45" s="44"/>
      <c r="H45" s="44"/>
      <c r="I45" s="44"/>
      <c r="J45" s="44"/>
      <c r="K45" s="44"/>
      <c r="L45" s="44"/>
      <c r="M45" s="44"/>
      <c r="N45" s="44"/>
      <c r="O45" s="44"/>
    </row>
    <row r="46" customFormat="false" ht="22.5" hidden="false" customHeight="true" outlineLevel="0" collapsed="false">
      <c r="A46" s="45" t="s">
        <v>71</v>
      </c>
      <c r="B46" s="45"/>
      <c r="C46" s="45"/>
      <c r="D46" s="45"/>
      <c r="E46" s="45"/>
      <c r="F46" s="46" t="n">
        <f aca="false">F40+F41+F42+F43+F44+F45</f>
        <v>0</v>
      </c>
      <c r="G46" s="46"/>
      <c r="H46" s="46"/>
      <c r="I46" s="46"/>
      <c r="J46" s="46"/>
      <c r="K46" s="46"/>
      <c r="L46" s="46"/>
      <c r="M46" s="46"/>
      <c r="N46" s="46"/>
      <c r="O46" s="46"/>
    </row>
    <row r="48" customFormat="false" ht="13.5" hidden="false" customHeight="true" outlineLevel="0" collapsed="false">
      <c r="A48" s="47" t="s">
        <v>72</v>
      </c>
      <c r="B48" s="47"/>
      <c r="C48" s="48" t="s">
        <v>73</v>
      </c>
      <c r="D48" s="48"/>
      <c r="E48" s="49" t="s">
        <v>74</v>
      </c>
      <c r="F48" s="49"/>
      <c r="G48" s="50" t="s">
        <v>75</v>
      </c>
      <c r="H48" s="50"/>
      <c r="I48" s="51" t="s">
        <v>76</v>
      </c>
      <c r="J48" s="51"/>
      <c r="K48" s="52" t="s">
        <v>108</v>
      </c>
      <c r="L48" s="52"/>
    </row>
    <row r="49" customFormat="false" ht="30" hidden="false" customHeight="true" outlineLevel="0" collapsed="false">
      <c r="A49" s="53" t="s">
        <v>78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</row>
  </sheetData>
  <mergeCells count="36">
    <mergeCell ref="A1:O1"/>
    <mergeCell ref="A2:B2"/>
    <mergeCell ref="C2:F2"/>
    <mergeCell ref="G2:H2"/>
    <mergeCell ref="I2:K2"/>
    <mergeCell ref="L2:O2"/>
    <mergeCell ref="A35:O35"/>
    <mergeCell ref="A36:E36"/>
    <mergeCell ref="F36:O36"/>
    <mergeCell ref="A37:E37"/>
    <mergeCell ref="F37:O37"/>
    <mergeCell ref="A38:E38"/>
    <mergeCell ref="F38:O38"/>
    <mergeCell ref="A39:E39"/>
    <mergeCell ref="F39:O39"/>
    <mergeCell ref="A40:E40"/>
    <mergeCell ref="F40:O40"/>
    <mergeCell ref="A41:E41"/>
    <mergeCell ref="F41:O41"/>
    <mergeCell ref="A42:E42"/>
    <mergeCell ref="F42:O42"/>
    <mergeCell ref="A43:E43"/>
    <mergeCell ref="F43:O43"/>
    <mergeCell ref="A44:E44"/>
    <mergeCell ref="F44:O44"/>
    <mergeCell ref="A45:E45"/>
    <mergeCell ref="F45:O45"/>
    <mergeCell ref="A46:E46"/>
    <mergeCell ref="F46:O46"/>
    <mergeCell ref="A48:B48"/>
    <mergeCell ref="C48:D48"/>
    <mergeCell ref="E48:F48"/>
    <mergeCell ref="G48:H48"/>
    <mergeCell ref="I48:J48"/>
    <mergeCell ref="K48:L48"/>
    <mergeCell ref="A49:O49"/>
  </mergeCells>
  <dataValidations count="1">
    <dataValidation allowBlank="true" error="「現金」「個人カード」「法人カード」から選択してください。" errorStyle="stop" errorTitle="入力エラー" operator="between" showDropDown="false" showErrorMessage="true" showInputMessage="false" sqref="L4:L33" type="list">
      <formula1>"現金,個人カード,法人カード"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6.82"/>
    <col collapsed="false" customWidth="true" hidden="false" outlineLevel="0" max="2" min="2" style="0" width="3.81"/>
    <col collapsed="false" customWidth="true" hidden="false" outlineLevel="0" max="4" min="3" style="0" width="11.04"/>
    <col collapsed="false" customWidth="true" hidden="false" outlineLevel="0" max="5" min="5" style="0" width="8.99"/>
    <col collapsed="false" customWidth="true" hidden="false" outlineLevel="0" max="6" min="6" style="0" width="11.04"/>
    <col collapsed="false" customWidth="true" hidden="false" outlineLevel="0" max="7" min="7" style="0" width="14.04"/>
    <col collapsed="false" customWidth="true" hidden="false" outlineLevel="0" max="9" min="8" style="0" width="11.04"/>
    <col collapsed="false" customWidth="true" hidden="false" outlineLevel="0" max="10" min="10" style="0" width="17.99"/>
    <col collapsed="false" customWidth="true" hidden="false" outlineLevel="0" max="11" min="11" style="0" width="12.81"/>
    <col collapsed="false" customWidth="true" hidden="false" outlineLevel="0" max="12" min="12" style="0" width="11.99"/>
    <col collapsed="false" customWidth="true" hidden="false" outlineLevel="0" max="13" min="13" style="0" width="9.82"/>
    <col collapsed="false" customWidth="true" hidden="false" outlineLevel="0" max="14" min="14" style="0" width="15.81"/>
    <col collapsed="false" customWidth="true" hidden="false" outlineLevel="0" max="15" min="15" style="0" width="12.81"/>
  </cols>
  <sheetData>
    <row r="1" customFormat="false" ht="36" hidden="false" customHeight="true" outlineLevel="0" collapsed="false">
      <c r="A1" s="2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4" hidden="false" customHeight="true" outlineLevel="0" collapsed="false">
      <c r="A2" s="3" t="s">
        <v>3</v>
      </c>
      <c r="B2" s="3"/>
      <c r="C2" s="4" t="s">
        <v>4</v>
      </c>
      <c r="D2" s="4"/>
      <c r="E2" s="4"/>
      <c r="F2" s="4"/>
      <c r="G2" s="3" t="s">
        <v>5</v>
      </c>
      <c r="H2" s="3"/>
      <c r="I2" s="5" t="n">
        <v>1300</v>
      </c>
      <c r="J2" s="5"/>
      <c r="K2" s="5"/>
      <c r="L2" s="6" t="s">
        <v>6</v>
      </c>
      <c r="M2" s="6"/>
      <c r="N2" s="6"/>
      <c r="O2" s="6"/>
    </row>
    <row r="3" customFormat="false" ht="42" hidden="false" customHeight="true" outlineLevel="0" collapsed="false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8" t="s">
        <v>19</v>
      </c>
      <c r="N3" s="8" t="s">
        <v>20</v>
      </c>
      <c r="O3" s="8" t="s">
        <v>21</v>
      </c>
    </row>
    <row r="4" customFormat="false" ht="18.75" hidden="false" customHeight="true" outlineLevel="0" collapsed="false">
      <c r="A4" s="9" t="s">
        <v>236</v>
      </c>
      <c r="B4" s="10" t="s">
        <v>35</v>
      </c>
      <c r="C4" s="11"/>
      <c r="D4" s="11"/>
      <c r="E4" s="12" t="str">
        <f aca="false">IF(AND(C4&lt;&gt;"",D4&lt;&gt;""),IF(D4&gt;=C4,ROUND((D4-C4)*24,2),ROUND((D4-C4+1)*24,2)),"")</f>
        <v/>
      </c>
      <c r="F4" s="13" t="str">
        <f aca="false">IF(E4&lt;&gt;"",ROUND(E4*$I$2,0),"")</f>
        <v/>
      </c>
      <c r="G4" s="14"/>
      <c r="H4" s="15"/>
      <c r="I4" s="16"/>
      <c r="J4" s="14"/>
      <c r="K4" s="16"/>
      <c r="L4" s="15"/>
      <c r="M4" s="17"/>
      <c r="N4" s="18"/>
      <c r="O4" s="17"/>
    </row>
    <row r="5" customFormat="false" ht="18.75" hidden="false" customHeight="true" outlineLevel="0" collapsed="false">
      <c r="A5" s="9" t="s">
        <v>237</v>
      </c>
      <c r="B5" s="10" t="s">
        <v>23</v>
      </c>
      <c r="C5" s="11"/>
      <c r="D5" s="11"/>
      <c r="E5" s="12" t="str">
        <f aca="false">IF(AND(C5&lt;&gt;"",D5&lt;&gt;""),IF(D5&gt;=C5,ROUND((D5-C5)*24,2),ROUND((D5-C5+1)*24,2)),"")</f>
        <v/>
      </c>
      <c r="F5" s="13" t="str">
        <f aca="false">IF(E5&lt;&gt;"",ROUND(E5*$I$2,0),"")</f>
        <v/>
      </c>
      <c r="G5" s="14"/>
      <c r="H5" s="15"/>
      <c r="I5" s="16"/>
      <c r="J5" s="14"/>
      <c r="K5" s="16"/>
      <c r="L5" s="15"/>
      <c r="M5" s="17"/>
      <c r="N5" s="18"/>
      <c r="O5" s="17"/>
    </row>
    <row r="6" customFormat="false" ht="18.75" hidden="false" customHeight="true" outlineLevel="0" collapsed="false">
      <c r="A6" s="9" t="s">
        <v>238</v>
      </c>
      <c r="B6" s="10" t="s">
        <v>25</v>
      </c>
      <c r="C6" s="11"/>
      <c r="D6" s="11"/>
      <c r="E6" s="12" t="str">
        <f aca="false">IF(AND(C6&lt;&gt;"",D6&lt;&gt;""),IF(D6&gt;=C6,ROUND((D6-C6)*24,2),ROUND((D6-C6+1)*24,2)),"")</f>
        <v/>
      </c>
      <c r="F6" s="13" t="str">
        <f aca="false">IF(E6&lt;&gt;"",ROUND(E6*$I$2,0),"")</f>
        <v/>
      </c>
      <c r="G6" s="14"/>
      <c r="H6" s="15"/>
      <c r="I6" s="16"/>
      <c r="J6" s="14"/>
      <c r="K6" s="16"/>
      <c r="L6" s="15"/>
      <c r="M6" s="17"/>
      <c r="N6" s="18"/>
      <c r="O6" s="17"/>
    </row>
    <row r="7" customFormat="false" ht="18.75" hidden="false" customHeight="true" outlineLevel="0" collapsed="false">
      <c r="A7" s="19" t="s">
        <v>239</v>
      </c>
      <c r="B7" s="20" t="s">
        <v>27</v>
      </c>
      <c r="C7" s="21"/>
      <c r="D7" s="21"/>
      <c r="E7" s="22" t="str">
        <f aca="false">IF(AND(C7&lt;&gt;"",D7&lt;&gt;""),IF(D7&gt;=C7,ROUND((D7-C7)*24,2),ROUND((D7-C7+1)*24,2)),"")</f>
        <v/>
      </c>
      <c r="F7" s="23" t="str">
        <f aca="false">IF(E7&lt;&gt;"",ROUND(E7*$I$2,0),"")</f>
        <v/>
      </c>
      <c r="G7" s="24"/>
      <c r="H7" s="25"/>
      <c r="I7" s="23"/>
      <c r="J7" s="24"/>
      <c r="K7" s="23"/>
      <c r="L7" s="25"/>
      <c r="M7" s="23"/>
      <c r="N7" s="24"/>
      <c r="O7" s="23"/>
    </row>
    <row r="8" customFormat="false" ht="18.75" hidden="false" customHeight="true" outlineLevel="0" collapsed="false">
      <c r="A8" s="26" t="s">
        <v>240</v>
      </c>
      <c r="B8" s="27" t="s">
        <v>29</v>
      </c>
      <c r="C8" s="28"/>
      <c r="D8" s="28"/>
      <c r="E8" s="29" t="str">
        <f aca="false">IF(AND(C8&lt;&gt;"",D8&lt;&gt;""),IF(D8&gt;=C8,ROUND((D8-C8)*24,2),ROUND((D8-C8+1)*24,2)),"")</f>
        <v/>
      </c>
      <c r="F8" s="30" t="str">
        <f aca="false">IF(E8&lt;&gt;"",ROUND(E8*$I$2,0),"")</f>
        <v/>
      </c>
      <c r="G8" s="31"/>
      <c r="H8" s="32"/>
      <c r="I8" s="30"/>
      <c r="J8" s="31"/>
      <c r="K8" s="30"/>
      <c r="L8" s="32"/>
      <c r="M8" s="30"/>
      <c r="N8" s="31"/>
      <c r="O8" s="30"/>
    </row>
    <row r="9" customFormat="false" ht="18.75" hidden="false" customHeight="true" outlineLevel="0" collapsed="false">
      <c r="A9" s="9" t="s">
        <v>241</v>
      </c>
      <c r="B9" s="10" t="s">
        <v>31</v>
      </c>
      <c r="C9" s="11"/>
      <c r="D9" s="11"/>
      <c r="E9" s="12" t="str">
        <f aca="false">IF(AND(C9&lt;&gt;"",D9&lt;&gt;""),IF(D9&gt;=C9,ROUND((D9-C9)*24,2),ROUND((D9-C9+1)*24,2)),"")</f>
        <v/>
      </c>
      <c r="F9" s="13" t="str">
        <f aca="false">IF(E9&lt;&gt;"",ROUND(E9*$I$2,0),"")</f>
        <v/>
      </c>
      <c r="G9" s="14"/>
      <c r="H9" s="15"/>
      <c r="I9" s="16"/>
      <c r="J9" s="14"/>
      <c r="K9" s="16"/>
      <c r="L9" s="15"/>
      <c r="M9" s="17"/>
      <c r="N9" s="18"/>
      <c r="O9" s="17"/>
    </row>
    <row r="10" customFormat="false" ht="18.75" hidden="false" customHeight="true" outlineLevel="0" collapsed="false">
      <c r="A10" s="9" t="s">
        <v>242</v>
      </c>
      <c r="B10" s="10" t="s">
        <v>33</v>
      </c>
      <c r="C10" s="11"/>
      <c r="D10" s="11"/>
      <c r="E10" s="12" t="str">
        <f aca="false">IF(AND(C10&lt;&gt;"",D10&lt;&gt;""),IF(D10&gt;=C10,ROUND((D10-C10)*24,2),ROUND((D10-C10+1)*24,2)),"")</f>
        <v/>
      </c>
      <c r="F10" s="13" t="str">
        <f aca="false">IF(E10&lt;&gt;"",ROUND(E10*$I$2,0),"")</f>
        <v/>
      </c>
      <c r="G10" s="14"/>
      <c r="H10" s="15"/>
      <c r="I10" s="16"/>
      <c r="J10" s="14"/>
      <c r="K10" s="16"/>
      <c r="L10" s="15"/>
      <c r="M10" s="17"/>
      <c r="N10" s="18"/>
      <c r="O10" s="17"/>
    </row>
    <row r="11" customFormat="false" ht="18.75" hidden="false" customHeight="true" outlineLevel="0" collapsed="false">
      <c r="A11" s="9" t="s">
        <v>243</v>
      </c>
      <c r="B11" s="10" t="s">
        <v>35</v>
      </c>
      <c r="C11" s="11"/>
      <c r="D11" s="11"/>
      <c r="E11" s="12" t="str">
        <f aca="false">IF(AND(C11&lt;&gt;"",D11&lt;&gt;""),IF(D11&gt;=C11,ROUND((D11-C11)*24,2),ROUND((D11-C11+1)*24,2)),"")</f>
        <v/>
      </c>
      <c r="F11" s="13" t="str">
        <f aca="false">IF(E11&lt;&gt;"",ROUND(E11*$I$2,0),"")</f>
        <v/>
      </c>
      <c r="G11" s="14"/>
      <c r="H11" s="15"/>
      <c r="I11" s="16"/>
      <c r="J11" s="14"/>
      <c r="K11" s="16"/>
      <c r="L11" s="15"/>
      <c r="M11" s="17"/>
      <c r="N11" s="18"/>
      <c r="O11" s="17"/>
    </row>
    <row r="12" customFormat="false" ht="18.75" hidden="false" customHeight="true" outlineLevel="0" collapsed="false">
      <c r="A12" s="9" t="s">
        <v>244</v>
      </c>
      <c r="B12" s="10" t="s">
        <v>23</v>
      </c>
      <c r="C12" s="11"/>
      <c r="D12" s="11"/>
      <c r="E12" s="12" t="str">
        <f aca="false">IF(AND(C12&lt;&gt;"",D12&lt;&gt;""),IF(D12&gt;=C12,ROUND((D12-C12)*24,2),ROUND((D12-C12+1)*24,2)),"")</f>
        <v/>
      </c>
      <c r="F12" s="13" t="str">
        <f aca="false">IF(E12&lt;&gt;"",ROUND(E12*$I$2,0),"")</f>
        <v/>
      </c>
      <c r="G12" s="14"/>
      <c r="H12" s="15"/>
      <c r="I12" s="16"/>
      <c r="J12" s="14"/>
      <c r="K12" s="16"/>
      <c r="L12" s="15"/>
      <c r="M12" s="17"/>
      <c r="N12" s="18"/>
      <c r="O12" s="17"/>
    </row>
    <row r="13" customFormat="false" ht="18.75" hidden="false" customHeight="true" outlineLevel="0" collapsed="false">
      <c r="A13" s="9" t="s">
        <v>245</v>
      </c>
      <c r="B13" s="10" t="s">
        <v>25</v>
      </c>
      <c r="C13" s="11"/>
      <c r="D13" s="11"/>
      <c r="E13" s="12" t="str">
        <f aca="false">IF(AND(C13&lt;&gt;"",D13&lt;&gt;""),IF(D13&gt;=C13,ROUND((D13-C13)*24,2),ROUND((D13-C13+1)*24,2)),"")</f>
        <v/>
      </c>
      <c r="F13" s="13" t="str">
        <f aca="false">IF(E13&lt;&gt;"",ROUND(E13*$I$2,0),"")</f>
        <v/>
      </c>
      <c r="G13" s="14"/>
      <c r="H13" s="15"/>
      <c r="I13" s="16"/>
      <c r="J13" s="14"/>
      <c r="K13" s="16"/>
      <c r="L13" s="15"/>
      <c r="M13" s="17"/>
      <c r="N13" s="18"/>
      <c r="O13" s="17"/>
    </row>
    <row r="14" customFormat="false" ht="18.75" hidden="false" customHeight="true" outlineLevel="0" collapsed="false">
      <c r="A14" s="19" t="s">
        <v>246</v>
      </c>
      <c r="B14" s="20" t="s">
        <v>27</v>
      </c>
      <c r="C14" s="21"/>
      <c r="D14" s="21"/>
      <c r="E14" s="22" t="str">
        <f aca="false">IF(AND(C14&lt;&gt;"",D14&lt;&gt;""),IF(D14&gt;=C14,ROUND((D14-C14)*24,2),ROUND((D14-C14+1)*24,2)),"")</f>
        <v/>
      </c>
      <c r="F14" s="23" t="str">
        <f aca="false">IF(E14&lt;&gt;"",ROUND(E14*$I$2,0),"")</f>
        <v/>
      </c>
      <c r="G14" s="24"/>
      <c r="H14" s="25"/>
      <c r="I14" s="23"/>
      <c r="J14" s="24"/>
      <c r="K14" s="23"/>
      <c r="L14" s="25"/>
      <c r="M14" s="23"/>
      <c r="N14" s="24"/>
      <c r="O14" s="23"/>
    </row>
    <row r="15" customFormat="false" ht="18.75" hidden="false" customHeight="true" outlineLevel="0" collapsed="false">
      <c r="A15" s="26" t="s">
        <v>247</v>
      </c>
      <c r="B15" s="27" t="s">
        <v>29</v>
      </c>
      <c r="C15" s="28"/>
      <c r="D15" s="28"/>
      <c r="E15" s="29" t="str">
        <f aca="false">IF(AND(C15&lt;&gt;"",D15&lt;&gt;""),IF(D15&gt;=C15,ROUND((D15-C15)*24,2),ROUND((D15-C15+1)*24,2)),"")</f>
        <v/>
      </c>
      <c r="F15" s="30" t="str">
        <f aca="false">IF(E15&lt;&gt;"",ROUND(E15*$I$2,0),"")</f>
        <v/>
      </c>
      <c r="G15" s="31"/>
      <c r="H15" s="32"/>
      <c r="I15" s="30"/>
      <c r="J15" s="31"/>
      <c r="K15" s="30"/>
      <c r="L15" s="32"/>
      <c r="M15" s="30"/>
      <c r="N15" s="31"/>
      <c r="O15" s="30"/>
    </row>
    <row r="16" customFormat="false" ht="18.75" hidden="false" customHeight="true" outlineLevel="0" collapsed="false">
      <c r="A16" s="9" t="s">
        <v>248</v>
      </c>
      <c r="B16" s="10" t="s">
        <v>31</v>
      </c>
      <c r="C16" s="11"/>
      <c r="D16" s="11"/>
      <c r="E16" s="12" t="str">
        <f aca="false">IF(AND(C16&lt;&gt;"",D16&lt;&gt;""),IF(D16&gt;=C16,ROUND((D16-C16)*24,2),ROUND((D16-C16+1)*24,2)),"")</f>
        <v/>
      </c>
      <c r="F16" s="13" t="str">
        <f aca="false">IF(E16&lt;&gt;"",ROUND(E16*$I$2,0),"")</f>
        <v/>
      </c>
      <c r="G16" s="14"/>
      <c r="H16" s="15"/>
      <c r="I16" s="16"/>
      <c r="J16" s="14"/>
      <c r="K16" s="16"/>
      <c r="L16" s="15"/>
      <c r="M16" s="17"/>
      <c r="N16" s="18"/>
      <c r="O16" s="17"/>
    </row>
    <row r="17" customFormat="false" ht="18.75" hidden="false" customHeight="true" outlineLevel="0" collapsed="false">
      <c r="A17" s="9" t="s">
        <v>249</v>
      </c>
      <c r="B17" s="10" t="s">
        <v>33</v>
      </c>
      <c r="C17" s="11"/>
      <c r="D17" s="11"/>
      <c r="E17" s="12" t="str">
        <f aca="false">IF(AND(C17&lt;&gt;"",D17&lt;&gt;""),IF(D17&gt;=C17,ROUND((D17-C17)*24,2),ROUND((D17-C17+1)*24,2)),"")</f>
        <v/>
      </c>
      <c r="F17" s="13" t="str">
        <f aca="false">IF(E17&lt;&gt;"",ROUND(E17*$I$2,0),"")</f>
        <v/>
      </c>
      <c r="G17" s="14"/>
      <c r="H17" s="15"/>
      <c r="I17" s="16"/>
      <c r="J17" s="14"/>
      <c r="K17" s="16"/>
      <c r="L17" s="15"/>
      <c r="M17" s="17"/>
      <c r="N17" s="18"/>
      <c r="O17" s="17"/>
    </row>
    <row r="18" customFormat="false" ht="18.75" hidden="false" customHeight="true" outlineLevel="0" collapsed="false">
      <c r="A18" s="9" t="s">
        <v>250</v>
      </c>
      <c r="B18" s="10" t="s">
        <v>35</v>
      </c>
      <c r="C18" s="11"/>
      <c r="D18" s="11"/>
      <c r="E18" s="12" t="str">
        <f aca="false">IF(AND(C18&lt;&gt;"",D18&lt;&gt;""),IF(D18&gt;=C18,ROUND((D18-C18)*24,2),ROUND((D18-C18+1)*24,2)),"")</f>
        <v/>
      </c>
      <c r="F18" s="13" t="str">
        <f aca="false">IF(E18&lt;&gt;"",ROUND(E18*$I$2,0),"")</f>
        <v/>
      </c>
      <c r="G18" s="14"/>
      <c r="H18" s="15"/>
      <c r="I18" s="16"/>
      <c r="J18" s="14"/>
      <c r="K18" s="16"/>
      <c r="L18" s="15"/>
      <c r="M18" s="17"/>
      <c r="N18" s="18"/>
      <c r="O18" s="17"/>
    </row>
    <row r="19" customFormat="false" ht="18.75" hidden="false" customHeight="true" outlineLevel="0" collapsed="false">
      <c r="A19" s="9" t="s">
        <v>251</v>
      </c>
      <c r="B19" s="10" t="s">
        <v>23</v>
      </c>
      <c r="C19" s="11"/>
      <c r="D19" s="11"/>
      <c r="E19" s="12" t="str">
        <f aca="false">IF(AND(C19&lt;&gt;"",D19&lt;&gt;""),IF(D19&gt;=C19,ROUND((D19-C19)*24,2),ROUND((D19-C19+1)*24,2)),"")</f>
        <v/>
      </c>
      <c r="F19" s="13" t="str">
        <f aca="false">IF(E19&lt;&gt;"",ROUND(E19*$I$2,0),"")</f>
        <v/>
      </c>
      <c r="G19" s="14"/>
      <c r="H19" s="15"/>
      <c r="I19" s="16"/>
      <c r="J19" s="14"/>
      <c r="K19" s="16"/>
      <c r="L19" s="15"/>
      <c r="M19" s="17"/>
      <c r="N19" s="18"/>
      <c r="O19" s="17"/>
    </row>
    <row r="20" customFormat="false" ht="18.75" hidden="false" customHeight="true" outlineLevel="0" collapsed="false">
      <c r="A20" s="9" t="s">
        <v>252</v>
      </c>
      <c r="B20" s="10" t="s">
        <v>25</v>
      </c>
      <c r="C20" s="11"/>
      <c r="D20" s="11"/>
      <c r="E20" s="12" t="str">
        <f aca="false">IF(AND(C20&lt;&gt;"",D20&lt;&gt;""),IF(D20&gt;=C20,ROUND((D20-C20)*24,2),ROUND((D20-C20+1)*24,2)),"")</f>
        <v/>
      </c>
      <c r="F20" s="13" t="str">
        <f aca="false">IF(E20&lt;&gt;"",ROUND(E20*$I$2,0),"")</f>
        <v/>
      </c>
      <c r="G20" s="14"/>
      <c r="H20" s="15"/>
      <c r="I20" s="16"/>
      <c r="J20" s="14"/>
      <c r="K20" s="16"/>
      <c r="L20" s="15"/>
      <c r="M20" s="17"/>
      <c r="N20" s="18"/>
      <c r="O20" s="17"/>
    </row>
    <row r="21" customFormat="false" ht="18.75" hidden="false" customHeight="true" outlineLevel="0" collapsed="false">
      <c r="A21" s="19" t="s">
        <v>253</v>
      </c>
      <c r="B21" s="20" t="s">
        <v>27</v>
      </c>
      <c r="C21" s="21"/>
      <c r="D21" s="21"/>
      <c r="E21" s="22" t="str">
        <f aca="false">IF(AND(C21&lt;&gt;"",D21&lt;&gt;""),IF(D21&gt;=C21,ROUND((D21-C21)*24,2),ROUND((D21-C21+1)*24,2)),"")</f>
        <v/>
      </c>
      <c r="F21" s="23" t="str">
        <f aca="false">IF(E21&lt;&gt;"",ROUND(E21*$I$2,0),"")</f>
        <v/>
      </c>
      <c r="G21" s="24"/>
      <c r="H21" s="25"/>
      <c r="I21" s="23"/>
      <c r="J21" s="24"/>
      <c r="K21" s="23"/>
      <c r="L21" s="25"/>
      <c r="M21" s="23"/>
      <c r="N21" s="24"/>
      <c r="O21" s="23"/>
    </row>
    <row r="22" customFormat="false" ht="18.75" hidden="false" customHeight="true" outlineLevel="0" collapsed="false">
      <c r="A22" s="26" t="s">
        <v>254</v>
      </c>
      <c r="B22" s="27" t="s">
        <v>29</v>
      </c>
      <c r="C22" s="28"/>
      <c r="D22" s="28"/>
      <c r="E22" s="29" t="str">
        <f aca="false">IF(AND(C22&lt;&gt;"",D22&lt;&gt;""),IF(D22&gt;=C22,ROUND((D22-C22)*24,2),ROUND((D22-C22+1)*24,2)),"")</f>
        <v/>
      </c>
      <c r="F22" s="30" t="str">
        <f aca="false">IF(E22&lt;&gt;"",ROUND(E22*$I$2,0),"")</f>
        <v/>
      </c>
      <c r="G22" s="31"/>
      <c r="H22" s="32"/>
      <c r="I22" s="30"/>
      <c r="J22" s="31"/>
      <c r="K22" s="30"/>
      <c r="L22" s="32"/>
      <c r="M22" s="30"/>
      <c r="N22" s="31"/>
      <c r="O22" s="30"/>
    </row>
    <row r="23" customFormat="false" ht="18.75" hidden="false" customHeight="true" outlineLevel="0" collapsed="false">
      <c r="A23" s="9" t="s">
        <v>255</v>
      </c>
      <c r="B23" s="10" t="s">
        <v>31</v>
      </c>
      <c r="C23" s="11"/>
      <c r="D23" s="11"/>
      <c r="E23" s="12" t="str">
        <f aca="false">IF(AND(C23&lt;&gt;"",D23&lt;&gt;""),IF(D23&gt;=C23,ROUND((D23-C23)*24,2),ROUND((D23-C23+1)*24,2)),"")</f>
        <v/>
      </c>
      <c r="F23" s="13" t="str">
        <f aca="false">IF(E23&lt;&gt;"",ROUND(E23*$I$2,0),"")</f>
        <v/>
      </c>
      <c r="G23" s="14"/>
      <c r="H23" s="15"/>
      <c r="I23" s="16"/>
      <c r="J23" s="14"/>
      <c r="K23" s="16"/>
      <c r="L23" s="15"/>
      <c r="M23" s="17"/>
      <c r="N23" s="18"/>
      <c r="O23" s="17"/>
    </row>
    <row r="24" customFormat="false" ht="18.75" hidden="false" customHeight="true" outlineLevel="0" collapsed="false">
      <c r="A24" s="9" t="s">
        <v>256</v>
      </c>
      <c r="B24" s="10" t="s">
        <v>33</v>
      </c>
      <c r="C24" s="11"/>
      <c r="D24" s="11"/>
      <c r="E24" s="12" t="str">
        <f aca="false">IF(AND(C24&lt;&gt;"",D24&lt;&gt;""),IF(D24&gt;=C24,ROUND((D24-C24)*24,2),ROUND((D24-C24+1)*24,2)),"")</f>
        <v/>
      </c>
      <c r="F24" s="13" t="str">
        <f aca="false">IF(E24&lt;&gt;"",ROUND(E24*$I$2,0),"")</f>
        <v/>
      </c>
      <c r="G24" s="14"/>
      <c r="H24" s="15"/>
      <c r="I24" s="16"/>
      <c r="J24" s="14"/>
      <c r="K24" s="16"/>
      <c r="L24" s="15"/>
      <c r="M24" s="17"/>
      <c r="N24" s="18"/>
      <c r="O24" s="17"/>
    </row>
    <row r="25" customFormat="false" ht="18.75" hidden="false" customHeight="true" outlineLevel="0" collapsed="false">
      <c r="A25" s="9" t="s">
        <v>257</v>
      </c>
      <c r="B25" s="10" t="s">
        <v>35</v>
      </c>
      <c r="C25" s="11"/>
      <c r="D25" s="11"/>
      <c r="E25" s="12" t="str">
        <f aca="false">IF(AND(C25&lt;&gt;"",D25&lt;&gt;""),IF(D25&gt;=C25,ROUND((D25-C25)*24,2),ROUND((D25-C25+1)*24,2)),"")</f>
        <v/>
      </c>
      <c r="F25" s="13" t="str">
        <f aca="false">IF(E25&lt;&gt;"",ROUND(E25*$I$2,0),"")</f>
        <v/>
      </c>
      <c r="G25" s="14"/>
      <c r="H25" s="15"/>
      <c r="I25" s="16"/>
      <c r="J25" s="14"/>
      <c r="K25" s="16"/>
      <c r="L25" s="15"/>
      <c r="M25" s="17"/>
      <c r="N25" s="18"/>
      <c r="O25" s="17"/>
    </row>
    <row r="26" customFormat="false" ht="18.75" hidden="false" customHeight="true" outlineLevel="0" collapsed="false">
      <c r="A26" s="9" t="s">
        <v>258</v>
      </c>
      <c r="B26" s="10" t="s">
        <v>23</v>
      </c>
      <c r="C26" s="11"/>
      <c r="D26" s="11"/>
      <c r="E26" s="12" t="str">
        <f aca="false">IF(AND(C26&lt;&gt;"",D26&lt;&gt;""),IF(D26&gt;=C26,ROUND((D26-C26)*24,2),ROUND((D26-C26+1)*24,2)),"")</f>
        <v/>
      </c>
      <c r="F26" s="13" t="str">
        <f aca="false">IF(E26&lt;&gt;"",ROUND(E26*$I$2,0),"")</f>
        <v/>
      </c>
      <c r="G26" s="14"/>
      <c r="H26" s="15"/>
      <c r="I26" s="16"/>
      <c r="J26" s="14"/>
      <c r="K26" s="16"/>
      <c r="L26" s="15"/>
      <c r="M26" s="17"/>
      <c r="N26" s="18"/>
      <c r="O26" s="17"/>
    </row>
    <row r="27" customFormat="false" ht="18.75" hidden="false" customHeight="true" outlineLevel="0" collapsed="false">
      <c r="A27" s="9" t="s">
        <v>259</v>
      </c>
      <c r="B27" s="10" t="s">
        <v>25</v>
      </c>
      <c r="C27" s="11"/>
      <c r="D27" s="11"/>
      <c r="E27" s="12" t="str">
        <f aca="false">IF(AND(C27&lt;&gt;"",D27&lt;&gt;""),IF(D27&gt;=C27,ROUND((D27-C27)*24,2),ROUND((D27-C27+1)*24,2)),"")</f>
        <v/>
      </c>
      <c r="F27" s="13" t="str">
        <f aca="false">IF(E27&lt;&gt;"",ROUND(E27*$I$2,0),"")</f>
        <v/>
      </c>
      <c r="G27" s="14"/>
      <c r="H27" s="15"/>
      <c r="I27" s="16"/>
      <c r="J27" s="14"/>
      <c r="K27" s="16"/>
      <c r="L27" s="15"/>
      <c r="M27" s="17"/>
      <c r="N27" s="18"/>
      <c r="O27" s="17"/>
    </row>
    <row r="28" customFormat="false" ht="18.75" hidden="false" customHeight="true" outlineLevel="0" collapsed="false">
      <c r="A28" s="19" t="s">
        <v>260</v>
      </c>
      <c r="B28" s="20" t="s">
        <v>27</v>
      </c>
      <c r="C28" s="21"/>
      <c r="D28" s="21"/>
      <c r="E28" s="22" t="str">
        <f aca="false">IF(AND(C28&lt;&gt;"",D28&lt;&gt;""),IF(D28&gt;=C28,ROUND((D28-C28)*24,2),ROUND((D28-C28+1)*24,2)),"")</f>
        <v/>
      </c>
      <c r="F28" s="23" t="str">
        <f aca="false">IF(E28&lt;&gt;"",ROUND(E28*$I$2,0),"")</f>
        <v/>
      </c>
      <c r="G28" s="24"/>
      <c r="H28" s="25"/>
      <c r="I28" s="23"/>
      <c r="J28" s="24"/>
      <c r="K28" s="23"/>
      <c r="L28" s="25"/>
      <c r="M28" s="23"/>
      <c r="N28" s="24"/>
      <c r="O28" s="23"/>
    </row>
    <row r="29" customFormat="false" ht="18.75" hidden="false" customHeight="true" outlineLevel="0" collapsed="false">
      <c r="A29" s="26" t="s">
        <v>261</v>
      </c>
      <c r="B29" s="27" t="s">
        <v>29</v>
      </c>
      <c r="C29" s="28"/>
      <c r="D29" s="28"/>
      <c r="E29" s="29" t="str">
        <f aca="false">IF(AND(C29&lt;&gt;"",D29&lt;&gt;""),IF(D29&gt;=C29,ROUND((D29-C29)*24,2),ROUND((D29-C29+1)*24,2)),"")</f>
        <v/>
      </c>
      <c r="F29" s="30" t="str">
        <f aca="false">IF(E29&lt;&gt;"",ROUND(E29*$I$2,0),"")</f>
        <v/>
      </c>
      <c r="G29" s="31"/>
      <c r="H29" s="32"/>
      <c r="I29" s="30"/>
      <c r="J29" s="31"/>
      <c r="K29" s="30"/>
      <c r="L29" s="32"/>
      <c r="M29" s="30"/>
      <c r="N29" s="31"/>
      <c r="O29" s="30"/>
    </row>
    <row r="30" customFormat="false" ht="18.75" hidden="false" customHeight="true" outlineLevel="0" collapsed="false">
      <c r="A30" s="9" t="s">
        <v>262</v>
      </c>
      <c r="B30" s="10" t="s">
        <v>31</v>
      </c>
      <c r="C30" s="11"/>
      <c r="D30" s="11"/>
      <c r="E30" s="12" t="str">
        <f aca="false">IF(AND(C30&lt;&gt;"",D30&lt;&gt;""),IF(D30&gt;=C30,ROUND((D30-C30)*24,2),ROUND((D30-C30+1)*24,2)),"")</f>
        <v/>
      </c>
      <c r="F30" s="13" t="str">
        <f aca="false">IF(E30&lt;&gt;"",ROUND(E30*$I$2,0),"")</f>
        <v/>
      </c>
      <c r="G30" s="14"/>
      <c r="H30" s="15"/>
      <c r="I30" s="16"/>
      <c r="J30" s="14"/>
      <c r="K30" s="16"/>
      <c r="L30" s="15"/>
      <c r="M30" s="17"/>
      <c r="N30" s="18"/>
      <c r="O30" s="17"/>
    </row>
    <row r="31" customFormat="false" ht="18.75" hidden="false" customHeight="true" outlineLevel="0" collapsed="false">
      <c r="A31" s="9" t="s">
        <v>263</v>
      </c>
      <c r="B31" s="10" t="s">
        <v>33</v>
      </c>
      <c r="C31" s="11"/>
      <c r="D31" s="11"/>
      <c r="E31" s="12" t="str">
        <f aca="false">IF(AND(C31&lt;&gt;"",D31&lt;&gt;""),IF(D31&gt;=C31,ROUND((D31-C31)*24,2),ROUND((D31-C31+1)*24,2)),"")</f>
        <v/>
      </c>
      <c r="F31" s="13" t="str">
        <f aca="false">IF(E31&lt;&gt;"",ROUND(E31*$I$2,0),"")</f>
        <v/>
      </c>
      <c r="G31" s="14"/>
      <c r="H31" s="15"/>
      <c r="I31" s="16"/>
      <c r="J31" s="14"/>
      <c r="K31" s="16"/>
      <c r="L31" s="15"/>
      <c r="M31" s="17"/>
      <c r="N31" s="18"/>
      <c r="O31" s="17"/>
    </row>
    <row r="32" customFormat="false" ht="18.75" hidden="false" customHeight="true" outlineLevel="0" collapsed="false">
      <c r="A32" s="9" t="s">
        <v>264</v>
      </c>
      <c r="B32" s="10" t="s">
        <v>35</v>
      </c>
      <c r="C32" s="11"/>
      <c r="D32" s="11"/>
      <c r="E32" s="12" t="str">
        <f aca="false">IF(AND(C32&lt;&gt;"",D32&lt;&gt;""),IF(D32&gt;=C32,ROUND((D32-C32)*24,2),ROUND((D32-C32+1)*24,2)),"")</f>
        <v/>
      </c>
      <c r="F32" s="13" t="str">
        <f aca="false">IF(E32&lt;&gt;"",ROUND(E32*$I$2,0),"")</f>
        <v/>
      </c>
      <c r="G32" s="14"/>
      <c r="H32" s="15"/>
      <c r="I32" s="16"/>
      <c r="J32" s="14"/>
      <c r="K32" s="16"/>
      <c r="L32" s="15"/>
      <c r="M32" s="17"/>
      <c r="N32" s="18"/>
      <c r="O32" s="17"/>
    </row>
    <row r="33" customFormat="false" ht="18.75" hidden="false" customHeight="true" outlineLevel="0" collapsed="false">
      <c r="A33" s="9" t="s">
        <v>265</v>
      </c>
      <c r="B33" s="10" t="s">
        <v>23</v>
      </c>
      <c r="C33" s="11"/>
      <c r="D33" s="11"/>
      <c r="E33" s="12" t="str">
        <f aca="false">IF(AND(C33&lt;&gt;"",D33&lt;&gt;""),IF(D33&gt;=C33,ROUND((D33-C33)*24,2),ROUND((D33-C33+1)*24,2)),"")</f>
        <v/>
      </c>
      <c r="F33" s="13" t="str">
        <f aca="false">IF(E33&lt;&gt;"",ROUND(E33*$I$2,0),"")</f>
        <v/>
      </c>
      <c r="G33" s="14"/>
      <c r="H33" s="15"/>
      <c r="I33" s="16"/>
      <c r="J33" s="14"/>
      <c r="K33" s="16"/>
      <c r="L33" s="15"/>
      <c r="M33" s="17"/>
      <c r="N33" s="18"/>
      <c r="O33" s="17"/>
    </row>
    <row r="34" customFormat="false" ht="18.75" hidden="false" customHeight="true" outlineLevel="0" collapsed="false">
      <c r="A34" s="9" t="s">
        <v>266</v>
      </c>
      <c r="B34" s="10" t="s">
        <v>25</v>
      </c>
      <c r="C34" s="11"/>
      <c r="D34" s="11"/>
      <c r="E34" s="12" t="str">
        <f aca="false">IF(AND(C34&lt;&gt;"",D34&lt;&gt;""),IF(D34&gt;=C34,ROUND((D34-C34)*24,2),ROUND((D34-C34+1)*24,2)),"")</f>
        <v/>
      </c>
      <c r="F34" s="13" t="str">
        <f aca="false">IF(E34&lt;&gt;"",ROUND(E34*$I$2,0),"")</f>
        <v/>
      </c>
      <c r="G34" s="14"/>
      <c r="H34" s="15"/>
      <c r="I34" s="16"/>
      <c r="J34" s="14"/>
      <c r="K34" s="16"/>
      <c r="L34" s="15"/>
      <c r="M34" s="17"/>
      <c r="N34" s="18"/>
      <c r="O34" s="17"/>
    </row>
    <row r="35" customFormat="false" ht="3.75" hidden="false" customHeight="true" outlineLevel="0" collapsed="false"/>
    <row r="36" customFormat="false" ht="25.5" hidden="false" customHeight="true" outlineLevel="0" collapsed="false">
      <c r="A36" s="33" t="s">
        <v>60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 customFormat="false" ht="22.5" hidden="false" customHeight="true" outlineLevel="0" collapsed="false">
      <c r="A37" s="34" t="s">
        <v>61</v>
      </c>
      <c r="B37" s="34"/>
      <c r="C37" s="34"/>
      <c r="D37" s="34"/>
      <c r="E37" s="34"/>
      <c r="F37" s="35" t="n">
        <f aca="false">COUNT(E4:E34)</f>
        <v>0</v>
      </c>
      <c r="G37" s="35"/>
      <c r="H37" s="35"/>
      <c r="I37" s="35"/>
      <c r="J37" s="35"/>
      <c r="K37" s="35"/>
      <c r="L37" s="35"/>
      <c r="M37" s="35"/>
      <c r="N37" s="35"/>
      <c r="O37" s="35"/>
    </row>
    <row r="38" customFormat="false" ht="22.5" hidden="false" customHeight="true" outlineLevel="0" collapsed="false">
      <c r="A38" s="36" t="s">
        <v>62</v>
      </c>
      <c r="B38" s="36"/>
      <c r="C38" s="36"/>
      <c r="D38" s="36"/>
      <c r="E38" s="36"/>
      <c r="F38" s="37" t="n">
        <f aca="false">SUM(E4:E34)</f>
        <v>0</v>
      </c>
      <c r="G38" s="37"/>
      <c r="H38" s="37"/>
      <c r="I38" s="37"/>
      <c r="J38" s="37"/>
      <c r="K38" s="37"/>
      <c r="L38" s="37"/>
      <c r="M38" s="37"/>
      <c r="N38" s="37"/>
      <c r="O38" s="37"/>
    </row>
    <row r="39" customFormat="false" ht="22.5" hidden="false" customHeight="true" outlineLevel="0" collapsed="false">
      <c r="A39" s="38" t="s">
        <v>63</v>
      </c>
      <c r="B39" s="38"/>
      <c r="C39" s="38"/>
      <c r="D39" s="38"/>
      <c r="E39" s="38"/>
      <c r="F39" s="39" t="n">
        <f aca="false">SUM(F4:F34)</f>
        <v>0</v>
      </c>
      <c r="G39" s="39"/>
      <c r="H39" s="39"/>
      <c r="I39" s="39"/>
      <c r="J39" s="39"/>
      <c r="K39" s="39"/>
      <c r="L39" s="39"/>
      <c r="M39" s="39"/>
      <c r="N39" s="39"/>
      <c r="O39" s="39"/>
    </row>
    <row r="40" customFormat="false" ht="22.5" hidden="false" customHeight="true" outlineLevel="0" collapsed="false">
      <c r="A40" s="36" t="s">
        <v>64</v>
      </c>
      <c r="B40" s="36"/>
      <c r="C40" s="36"/>
      <c r="D40" s="36"/>
      <c r="E40" s="36"/>
      <c r="F40" s="40" t="n">
        <f aca="false">IF(F39=0,0,IFERROR(VLOOKUP(F39,税額表!$A$2:$B$74,2,TRUE()),0))</f>
        <v>0</v>
      </c>
      <c r="G40" s="40"/>
      <c r="H40" s="40"/>
      <c r="I40" s="40"/>
      <c r="J40" s="40"/>
      <c r="K40" s="40"/>
      <c r="L40" s="40"/>
      <c r="M40" s="40"/>
      <c r="N40" s="40"/>
      <c r="O40" s="40"/>
    </row>
    <row r="41" customFormat="false" ht="22.5" hidden="false" customHeight="true" outlineLevel="0" collapsed="false">
      <c r="A41" s="38" t="s">
        <v>65</v>
      </c>
      <c r="B41" s="38"/>
      <c r="C41" s="38"/>
      <c r="D41" s="38"/>
      <c r="E41" s="38"/>
      <c r="F41" s="39" t="n">
        <f aca="false">F39-F40</f>
        <v>0</v>
      </c>
      <c r="G41" s="39"/>
      <c r="H41" s="39"/>
      <c r="I41" s="39"/>
      <c r="J41" s="39"/>
      <c r="K41" s="39"/>
      <c r="L41" s="39"/>
      <c r="M41" s="39"/>
      <c r="N41" s="39"/>
      <c r="O41" s="39"/>
    </row>
    <row r="42" customFormat="false" ht="22.5" hidden="false" customHeight="true" outlineLevel="0" collapsed="false">
      <c r="A42" s="36" t="s">
        <v>66</v>
      </c>
      <c r="B42" s="36"/>
      <c r="C42" s="36"/>
      <c r="D42" s="36"/>
      <c r="E42" s="36"/>
      <c r="F42" s="40" t="n">
        <f aca="false">SUM(I4:I34)</f>
        <v>0</v>
      </c>
      <c r="G42" s="40"/>
      <c r="H42" s="40"/>
      <c r="I42" s="40"/>
      <c r="J42" s="40"/>
      <c r="K42" s="40"/>
      <c r="L42" s="40"/>
      <c r="M42" s="40"/>
      <c r="N42" s="40"/>
      <c r="O42" s="40"/>
    </row>
    <row r="43" customFormat="false" ht="22.5" hidden="false" customHeight="true" outlineLevel="0" collapsed="false">
      <c r="A43" s="36" t="s">
        <v>67</v>
      </c>
      <c r="B43" s="36"/>
      <c r="C43" s="36"/>
      <c r="D43" s="36"/>
      <c r="E43" s="36"/>
      <c r="F43" s="40" t="n">
        <f aca="false">SUMIF(L4:L34,"現金",K4:K34)+SUMIF(L4:L34,"個人カード",K4:K34)</f>
        <v>0</v>
      </c>
      <c r="G43" s="40"/>
      <c r="H43" s="40"/>
      <c r="I43" s="40"/>
      <c r="J43" s="40"/>
      <c r="K43" s="40"/>
      <c r="L43" s="40"/>
      <c r="M43" s="40"/>
      <c r="N43" s="40"/>
      <c r="O43" s="40"/>
    </row>
    <row r="44" customFormat="false" ht="22.5" hidden="false" customHeight="true" outlineLevel="0" collapsed="false">
      <c r="A44" s="41" t="s">
        <v>68</v>
      </c>
      <c r="B44" s="41"/>
      <c r="C44" s="41"/>
      <c r="D44" s="41"/>
      <c r="E44" s="41"/>
      <c r="F44" s="42" t="n">
        <f aca="false">SUM(M4:M34)</f>
        <v>0</v>
      </c>
      <c r="G44" s="42"/>
      <c r="H44" s="42"/>
      <c r="I44" s="42"/>
      <c r="J44" s="42"/>
      <c r="K44" s="42"/>
      <c r="L44" s="42"/>
      <c r="M44" s="42"/>
      <c r="N44" s="42"/>
      <c r="O44" s="42"/>
    </row>
    <row r="45" customFormat="false" ht="22.5" hidden="false" customHeight="true" outlineLevel="0" collapsed="false">
      <c r="A45" s="41" t="s">
        <v>69</v>
      </c>
      <c r="B45" s="41"/>
      <c r="C45" s="41"/>
      <c r="D45" s="41"/>
      <c r="E45" s="41"/>
      <c r="F45" s="42" t="n">
        <f aca="false">SUM(O4:O34)</f>
        <v>0</v>
      </c>
      <c r="G45" s="42"/>
      <c r="H45" s="42"/>
      <c r="I45" s="42"/>
      <c r="J45" s="42"/>
      <c r="K45" s="42"/>
      <c r="L45" s="42"/>
      <c r="M45" s="42"/>
      <c r="N45" s="42"/>
      <c r="O45" s="42"/>
    </row>
    <row r="46" customFormat="false" ht="22.5" hidden="false" customHeight="true" outlineLevel="0" collapsed="false">
      <c r="A46" s="43" t="s">
        <v>70</v>
      </c>
      <c r="B46" s="43"/>
      <c r="C46" s="43"/>
      <c r="D46" s="43"/>
      <c r="E46" s="43"/>
      <c r="F46" s="44" t="n">
        <f aca="false">'6月'!F42</f>
        <v>0</v>
      </c>
      <c r="G46" s="44"/>
      <c r="H46" s="44"/>
      <c r="I46" s="44"/>
      <c r="J46" s="44"/>
      <c r="K46" s="44"/>
      <c r="L46" s="44"/>
      <c r="M46" s="44"/>
      <c r="N46" s="44"/>
      <c r="O46" s="44"/>
    </row>
    <row r="47" customFormat="false" ht="22.5" hidden="false" customHeight="true" outlineLevel="0" collapsed="false">
      <c r="A47" s="45" t="s">
        <v>71</v>
      </c>
      <c r="B47" s="45"/>
      <c r="C47" s="45"/>
      <c r="D47" s="45"/>
      <c r="E47" s="45"/>
      <c r="F47" s="46" t="n">
        <f aca="false">F41+F42+F43+F44+F45+F46</f>
        <v>0</v>
      </c>
      <c r="G47" s="46"/>
      <c r="H47" s="46"/>
      <c r="I47" s="46"/>
      <c r="J47" s="46"/>
      <c r="K47" s="46"/>
      <c r="L47" s="46"/>
      <c r="M47" s="46"/>
      <c r="N47" s="46"/>
      <c r="O47" s="46"/>
    </row>
    <row r="49" customFormat="false" ht="13.5" hidden="false" customHeight="true" outlineLevel="0" collapsed="false">
      <c r="A49" s="47" t="s">
        <v>72</v>
      </c>
      <c r="B49" s="47"/>
      <c r="C49" s="48" t="s">
        <v>73</v>
      </c>
      <c r="D49" s="48"/>
      <c r="E49" s="49" t="s">
        <v>74</v>
      </c>
      <c r="F49" s="49"/>
      <c r="G49" s="50" t="s">
        <v>75</v>
      </c>
      <c r="H49" s="50"/>
      <c r="I49" s="51" t="s">
        <v>76</v>
      </c>
      <c r="J49" s="51"/>
      <c r="K49" s="52" t="s">
        <v>108</v>
      </c>
      <c r="L49" s="52"/>
    </row>
    <row r="50" customFormat="false" ht="30" hidden="false" customHeight="true" outlineLevel="0" collapsed="false">
      <c r="A50" s="53" t="s">
        <v>78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</row>
  </sheetData>
  <mergeCells count="36">
    <mergeCell ref="A1:O1"/>
    <mergeCell ref="A2:B2"/>
    <mergeCell ref="C2:F2"/>
    <mergeCell ref="G2:H2"/>
    <mergeCell ref="I2:K2"/>
    <mergeCell ref="L2:O2"/>
    <mergeCell ref="A36:O36"/>
    <mergeCell ref="A37:E37"/>
    <mergeCell ref="F37:O37"/>
    <mergeCell ref="A38:E38"/>
    <mergeCell ref="F38:O38"/>
    <mergeCell ref="A39:E39"/>
    <mergeCell ref="F39:O39"/>
    <mergeCell ref="A40:E40"/>
    <mergeCell ref="F40:O40"/>
    <mergeCell ref="A41:E41"/>
    <mergeCell ref="F41:O41"/>
    <mergeCell ref="A42:E42"/>
    <mergeCell ref="F42:O42"/>
    <mergeCell ref="A43:E43"/>
    <mergeCell ref="F43:O43"/>
    <mergeCell ref="A44:E44"/>
    <mergeCell ref="F44:O44"/>
    <mergeCell ref="A45:E45"/>
    <mergeCell ref="F45:O45"/>
    <mergeCell ref="A46:E46"/>
    <mergeCell ref="F46:O46"/>
    <mergeCell ref="A47:E47"/>
    <mergeCell ref="F47:O47"/>
    <mergeCell ref="A49:B49"/>
    <mergeCell ref="C49:D49"/>
    <mergeCell ref="E49:F49"/>
    <mergeCell ref="G49:H49"/>
    <mergeCell ref="I49:J49"/>
    <mergeCell ref="K49:L49"/>
    <mergeCell ref="A50:O50"/>
  </mergeCells>
  <dataValidations count="1">
    <dataValidation allowBlank="true" error="「現金」「個人カード」「法人カード」から選択してください。" errorStyle="stop" errorTitle="入力エラー" operator="between" showDropDown="false" showErrorMessage="true" showInputMessage="false" sqref="L4:L34" type="list">
      <formula1>"現金,個人カード,法人カード"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6.82"/>
    <col collapsed="false" customWidth="true" hidden="false" outlineLevel="0" max="2" min="2" style="0" width="3.81"/>
    <col collapsed="false" customWidth="true" hidden="false" outlineLevel="0" max="4" min="3" style="0" width="11.04"/>
    <col collapsed="false" customWidth="true" hidden="false" outlineLevel="0" max="5" min="5" style="0" width="8.99"/>
    <col collapsed="false" customWidth="true" hidden="false" outlineLevel="0" max="6" min="6" style="0" width="11.04"/>
    <col collapsed="false" customWidth="true" hidden="false" outlineLevel="0" max="7" min="7" style="0" width="14.04"/>
    <col collapsed="false" customWidth="true" hidden="false" outlineLevel="0" max="9" min="8" style="0" width="11.04"/>
    <col collapsed="false" customWidth="true" hidden="false" outlineLevel="0" max="10" min="10" style="0" width="17.99"/>
    <col collapsed="false" customWidth="true" hidden="false" outlineLevel="0" max="11" min="11" style="0" width="12.81"/>
    <col collapsed="false" customWidth="true" hidden="false" outlineLevel="0" max="12" min="12" style="0" width="11.99"/>
    <col collapsed="false" customWidth="true" hidden="false" outlineLevel="0" max="13" min="13" style="0" width="9.82"/>
    <col collapsed="false" customWidth="true" hidden="false" outlineLevel="0" max="14" min="14" style="0" width="15.81"/>
    <col collapsed="false" customWidth="true" hidden="false" outlineLevel="0" max="15" min="15" style="0" width="12.81"/>
  </cols>
  <sheetData>
    <row r="1" customFormat="false" ht="36" hidden="false" customHeight="true" outlineLevel="0" collapsed="false">
      <c r="A1" s="2" t="s">
        <v>267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4" hidden="false" customHeight="true" outlineLevel="0" collapsed="false">
      <c r="A2" s="3" t="s">
        <v>3</v>
      </c>
      <c r="B2" s="3"/>
      <c r="C2" s="4" t="s">
        <v>4</v>
      </c>
      <c r="D2" s="4"/>
      <c r="E2" s="4"/>
      <c r="F2" s="4"/>
      <c r="G2" s="3" t="s">
        <v>5</v>
      </c>
      <c r="H2" s="3"/>
      <c r="I2" s="5" t="n">
        <v>1300</v>
      </c>
      <c r="J2" s="5"/>
      <c r="K2" s="5"/>
      <c r="L2" s="6" t="s">
        <v>6</v>
      </c>
      <c r="M2" s="6"/>
      <c r="N2" s="6"/>
      <c r="O2" s="6"/>
    </row>
    <row r="3" customFormat="false" ht="42" hidden="false" customHeight="true" outlineLevel="0" collapsed="false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8" t="s">
        <v>19</v>
      </c>
      <c r="N3" s="8" t="s">
        <v>20</v>
      </c>
      <c r="O3" s="8" t="s">
        <v>21</v>
      </c>
    </row>
    <row r="4" customFormat="false" ht="18.75" hidden="false" customHeight="true" outlineLevel="0" collapsed="false">
      <c r="A4" s="19" t="s">
        <v>268</v>
      </c>
      <c r="B4" s="20" t="s">
        <v>27</v>
      </c>
      <c r="C4" s="21"/>
      <c r="D4" s="21"/>
      <c r="E4" s="22" t="str">
        <f aca="false">IF(AND(C4&lt;&gt;"",D4&lt;&gt;""),IF(D4&gt;=C4,ROUND((D4-C4)*24,2),ROUND((D4-C4+1)*24,2)),"")</f>
        <v/>
      </c>
      <c r="F4" s="23" t="str">
        <f aca="false">IF(E4&lt;&gt;"",ROUND(E4*$I$2,0),"")</f>
        <v/>
      </c>
      <c r="G4" s="24"/>
      <c r="H4" s="25"/>
      <c r="I4" s="23"/>
      <c r="J4" s="24"/>
      <c r="K4" s="23"/>
      <c r="L4" s="25"/>
      <c r="M4" s="23"/>
      <c r="N4" s="24"/>
      <c r="O4" s="23"/>
    </row>
    <row r="5" customFormat="false" ht="18.75" hidden="false" customHeight="true" outlineLevel="0" collapsed="false">
      <c r="A5" s="26" t="s">
        <v>269</v>
      </c>
      <c r="B5" s="27" t="s">
        <v>29</v>
      </c>
      <c r="C5" s="28"/>
      <c r="D5" s="28"/>
      <c r="E5" s="29" t="str">
        <f aca="false">IF(AND(C5&lt;&gt;"",D5&lt;&gt;""),IF(D5&gt;=C5,ROUND((D5-C5)*24,2),ROUND((D5-C5+1)*24,2)),"")</f>
        <v/>
      </c>
      <c r="F5" s="30" t="str">
        <f aca="false">IF(E5&lt;&gt;"",ROUND(E5*$I$2,0),"")</f>
        <v/>
      </c>
      <c r="G5" s="31"/>
      <c r="H5" s="32"/>
      <c r="I5" s="30"/>
      <c r="J5" s="31"/>
      <c r="K5" s="30"/>
      <c r="L5" s="32"/>
      <c r="M5" s="30"/>
      <c r="N5" s="31"/>
      <c r="O5" s="30"/>
    </row>
    <row r="6" customFormat="false" ht="18.75" hidden="false" customHeight="true" outlineLevel="0" collapsed="false">
      <c r="A6" s="9" t="s">
        <v>270</v>
      </c>
      <c r="B6" s="10" t="s">
        <v>31</v>
      </c>
      <c r="C6" s="11"/>
      <c r="D6" s="11"/>
      <c r="E6" s="12" t="str">
        <f aca="false">IF(AND(C6&lt;&gt;"",D6&lt;&gt;""),IF(D6&gt;=C6,ROUND((D6-C6)*24,2),ROUND((D6-C6+1)*24,2)),"")</f>
        <v/>
      </c>
      <c r="F6" s="13" t="str">
        <f aca="false">IF(E6&lt;&gt;"",ROUND(E6*$I$2,0),"")</f>
        <v/>
      </c>
      <c r="G6" s="14"/>
      <c r="H6" s="15"/>
      <c r="I6" s="16"/>
      <c r="J6" s="14"/>
      <c r="K6" s="16"/>
      <c r="L6" s="15"/>
      <c r="M6" s="17"/>
      <c r="N6" s="18"/>
      <c r="O6" s="17"/>
    </row>
    <row r="7" customFormat="false" ht="18.75" hidden="false" customHeight="true" outlineLevel="0" collapsed="false">
      <c r="A7" s="9" t="s">
        <v>271</v>
      </c>
      <c r="B7" s="10" t="s">
        <v>33</v>
      </c>
      <c r="C7" s="11"/>
      <c r="D7" s="11"/>
      <c r="E7" s="12" t="str">
        <f aca="false">IF(AND(C7&lt;&gt;"",D7&lt;&gt;""),IF(D7&gt;=C7,ROUND((D7-C7)*24,2),ROUND((D7-C7+1)*24,2)),"")</f>
        <v/>
      </c>
      <c r="F7" s="13" t="str">
        <f aca="false">IF(E7&lt;&gt;"",ROUND(E7*$I$2,0),"")</f>
        <v/>
      </c>
      <c r="G7" s="14"/>
      <c r="H7" s="15"/>
      <c r="I7" s="16"/>
      <c r="J7" s="14"/>
      <c r="K7" s="16"/>
      <c r="L7" s="15"/>
      <c r="M7" s="17"/>
      <c r="N7" s="18"/>
      <c r="O7" s="17"/>
    </row>
    <row r="8" customFormat="false" ht="18.75" hidden="false" customHeight="true" outlineLevel="0" collapsed="false">
      <c r="A8" s="9" t="s">
        <v>272</v>
      </c>
      <c r="B8" s="10" t="s">
        <v>35</v>
      </c>
      <c r="C8" s="11"/>
      <c r="D8" s="11"/>
      <c r="E8" s="12" t="str">
        <f aca="false">IF(AND(C8&lt;&gt;"",D8&lt;&gt;""),IF(D8&gt;=C8,ROUND((D8-C8)*24,2),ROUND((D8-C8+1)*24,2)),"")</f>
        <v/>
      </c>
      <c r="F8" s="13" t="str">
        <f aca="false">IF(E8&lt;&gt;"",ROUND(E8*$I$2,0),"")</f>
        <v/>
      </c>
      <c r="G8" s="14"/>
      <c r="H8" s="15"/>
      <c r="I8" s="16"/>
      <c r="J8" s="14"/>
      <c r="K8" s="16"/>
      <c r="L8" s="15"/>
      <c r="M8" s="17"/>
      <c r="N8" s="18"/>
      <c r="O8" s="17"/>
    </row>
    <row r="9" customFormat="false" ht="18.75" hidden="false" customHeight="true" outlineLevel="0" collapsed="false">
      <c r="A9" s="9" t="s">
        <v>273</v>
      </c>
      <c r="B9" s="10" t="s">
        <v>23</v>
      </c>
      <c r="C9" s="11"/>
      <c r="D9" s="11"/>
      <c r="E9" s="12" t="str">
        <f aca="false">IF(AND(C9&lt;&gt;"",D9&lt;&gt;""),IF(D9&gt;=C9,ROUND((D9-C9)*24,2),ROUND((D9-C9+1)*24,2)),"")</f>
        <v/>
      </c>
      <c r="F9" s="13" t="str">
        <f aca="false">IF(E9&lt;&gt;"",ROUND(E9*$I$2,0),"")</f>
        <v/>
      </c>
      <c r="G9" s="14"/>
      <c r="H9" s="15"/>
      <c r="I9" s="16"/>
      <c r="J9" s="14"/>
      <c r="K9" s="16"/>
      <c r="L9" s="15"/>
      <c r="M9" s="17"/>
      <c r="N9" s="18"/>
      <c r="O9" s="17"/>
    </row>
    <row r="10" customFormat="false" ht="18.75" hidden="false" customHeight="true" outlineLevel="0" collapsed="false">
      <c r="A10" s="9" t="s">
        <v>274</v>
      </c>
      <c r="B10" s="10" t="s">
        <v>25</v>
      </c>
      <c r="C10" s="11"/>
      <c r="D10" s="11"/>
      <c r="E10" s="12" t="str">
        <f aca="false">IF(AND(C10&lt;&gt;"",D10&lt;&gt;""),IF(D10&gt;=C10,ROUND((D10-C10)*24,2),ROUND((D10-C10+1)*24,2)),"")</f>
        <v/>
      </c>
      <c r="F10" s="13" t="str">
        <f aca="false">IF(E10&lt;&gt;"",ROUND(E10*$I$2,0),"")</f>
        <v/>
      </c>
      <c r="G10" s="14"/>
      <c r="H10" s="15"/>
      <c r="I10" s="16"/>
      <c r="J10" s="14"/>
      <c r="K10" s="16"/>
      <c r="L10" s="15"/>
      <c r="M10" s="17"/>
      <c r="N10" s="18"/>
      <c r="O10" s="17"/>
    </row>
    <row r="11" customFormat="false" ht="18.75" hidden="false" customHeight="true" outlineLevel="0" collapsed="false">
      <c r="A11" s="19" t="s">
        <v>275</v>
      </c>
      <c r="B11" s="20" t="s">
        <v>27</v>
      </c>
      <c r="C11" s="21"/>
      <c r="D11" s="21"/>
      <c r="E11" s="22" t="str">
        <f aca="false">IF(AND(C11&lt;&gt;"",D11&lt;&gt;""),IF(D11&gt;=C11,ROUND((D11-C11)*24,2),ROUND((D11-C11+1)*24,2)),"")</f>
        <v/>
      </c>
      <c r="F11" s="23" t="str">
        <f aca="false">IF(E11&lt;&gt;"",ROUND(E11*$I$2,0),"")</f>
        <v/>
      </c>
      <c r="G11" s="24"/>
      <c r="H11" s="25"/>
      <c r="I11" s="23"/>
      <c r="J11" s="24"/>
      <c r="K11" s="23"/>
      <c r="L11" s="25"/>
      <c r="M11" s="23"/>
      <c r="N11" s="24"/>
      <c r="O11" s="23"/>
    </row>
    <row r="12" customFormat="false" ht="18.75" hidden="false" customHeight="true" outlineLevel="0" collapsed="false">
      <c r="A12" s="26" t="s">
        <v>276</v>
      </c>
      <c r="B12" s="27" t="s">
        <v>29</v>
      </c>
      <c r="C12" s="28"/>
      <c r="D12" s="28"/>
      <c r="E12" s="29" t="str">
        <f aca="false">IF(AND(C12&lt;&gt;"",D12&lt;&gt;""),IF(D12&gt;=C12,ROUND((D12-C12)*24,2),ROUND((D12-C12+1)*24,2)),"")</f>
        <v/>
      </c>
      <c r="F12" s="30" t="str">
        <f aca="false">IF(E12&lt;&gt;"",ROUND(E12*$I$2,0),"")</f>
        <v/>
      </c>
      <c r="G12" s="31"/>
      <c r="H12" s="32"/>
      <c r="I12" s="30"/>
      <c r="J12" s="31"/>
      <c r="K12" s="30"/>
      <c r="L12" s="32"/>
      <c r="M12" s="30"/>
      <c r="N12" s="31"/>
      <c r="O12" s="30"/>
    </row>
    <row r="13" customFormat="false" ht="18.75" hidden="false" customHeight="true" outlineLevel="0" collapsed="false">
      <c r="A13" s="9" t="s">
        <v>277</v>
      </c>
      <c r="B13" s="10" t="s">
        <v>31</v>
      </c>
      <c r="C13" s="11"/>
      <c r="D13" s="11"/>
      <c r="E13" s="12" t="str">
        <f aca="false">IF(AND(C13&lt;&gt;"",D13&lt;&gt;""),IF(D13&gt;=C13,ROUND((D13-C13)*24,2),ROUND((D13-C13+1)*24,2)),"")</f>
        <v/>
      </c>
      <c r="F13" s="13" t="str">
        <f aca="false">IF(E13&lt;&gt;"",ROUND(E13*$I$2,0),"")</f>
        <v/>
      </c>
      <c r="G13" s="14"/>
      <c r="H13" s="15"/>
      <c r="I13" s="16"/>
      <c r="J13" s="14"/>
      <c r="K13" s="16"/>
      <c r="L13" s="15"/>
      <c r="M13" s="17"/>
      <c r="N13" s="18"/>
      <c r="O13" s="17"/>
    </row>
    <row r="14" customFormat="false" ht="18.75" hidden="false" customHeight="true" outlineLevel="0" collapsed="false">
      <c r="A14" s="9" t="s">
        <v>278</v>
      </c>
      <c r="B14" s="10" t="s">
        <v>33</v>
      </c>
      <c r="C14" s="11"/>
      <c r="D14" s="11"/>
      <c r="E14" s="12" t="str">
        <f aca="false">IF(AND(C14&lt;&gt;"",D14&lt;&gt;""),IF(D14&gt;=C14,ROUND((D14-C14)*24,2),ROUND((D14-C14+1)*24,2)),"")</f>
        <v/>
      </c>
      <c r="F14" s="13" t="str">
        <f aca="false">IF(E14&lt;&gt;"",ROUND(E14*$I$2,0),"")</f>
        <v/>
      </c>
      <c r="G14" s="14"/>
      <c r="H14" s="15"/>
      <c r="I14" s="16"/>
      <c r="J14" s="14"/>
      <c r="K14" s="16"/>
      <c r="L14" s="15"/>
      <c r="M14" s="17"/>
      <c r="N14" s="18"/>
      <c r="O14" s="17"/>
    </row>
    <row r="15" customFormat="false" ht="18.75" hidden="false" customHeight="true" outlineLevel="0" collapsed="false">
      <c r="A15" s="9" t="s">
        <v>279</v>
      </c>
      <c r="B15" s="10" t="s">
        <v>35</v>
      </c>
      <c r="C15" s="11"/>
      <c r="D15" s="11"/>
      <c r="E15" s="12" t="str">
        <f aca="false">IF(AND(C15&lt;&gt;"",D15&lt;&gt;""),IF(D15&gt;=C15,ROUND((D15-C15)*24,2),ROUND((D15-C15+1)*24,2)),"")</f>
        <v/>
      </c>
      <c r="F15" s="13" t="str">
        <f aca="false">IF(E15&lt;&gt;"",ROUND(E15*$I$2,0),"")</f>
        <v/>
      </c>
      <c r="G15" s="14"/>
      <c r="H15" s="15"/>
      <c r="I15" s="16"/>
      <c r="J15" s="14"/>
      <c r="K15" s="16"/>
      <c r="L15" s="15"/>
      <c r="M15" s="17"/>
      <c r="N15" s="18"/>
      <c r="O15" s="17"/>
    </row>
    <row r="16" customFormat="false" ht="18.75" hidden="false" customHeight="true" outlineLevel="0" collapsed="false">
      <c r="A16" s="9" t="s">
        <v>280</v>
      </c>
      <c r="B16" s="10" t="s">
        <v>23</v>
      </c>
      <c r="C16" s="11"/>
      <c r="D16" s="11"/>
      <c r="E16" s="12" t="str">
        <f aca="false">IF(AND(C16&lt;&gt;"",D16&lt;&gt;""),IF(D16&gt;=C16,ROUND((D16-C16)*24,2),ROUND((D16-C16+1)*24,2)),"")</f>
        <v/>
      </c>
      <c r="F16" s="13" t="str">
        <f aca="false">IF(E16&lt;&gt;"",ROUND(E16*$I$2,0),"")</f>
        <v/>
      </c>
      <c r="G16" s="14"/>
      <c r="H16" s="15"/>
      <c r="I16" s="16"/>
      <c r="J16" s="14"/>
      <c r="K16" s="16"/>
      <c r="L16" s="15"/>
      <c r="M16" s="17"/>
      <c r="N16" s="18"/>
      <c r="O16" s="17"/>
    </row>
    <row r="17" customFormat="false" ht="18.75" hidden="false" customHeight="true" outlineLevel="0" collapsed="false">
      <c r="A17" s="9" t="s">
        <v>281</v>
      </c>
      <c r="B17" s="10" t="s">
        <v>25</v>
      </c>
      <c r="C17" s="11"/>
      <c r="D17" s="11"/>
      <c r="E17" s="12" t="str">
        <f aca="false">IF(AND(C17&lt;&gt;"",D17&lt;&gt;""),IF(D17&gt;=C17,ROUND((D17-C17)*24,2),ROUND((D17-C17+1)*24,2)),"")</f>
        <v/>
      </c>
      <c r="F17" s="13" t="str">
        <f aca="false">IF(E17&lt;&gt;"",ROUND(E17*$I$2,0),"")</f>
        <v/>
      </c>
      <c r="G17" s="14"/>
      <c r="H17" s="15"/>
      <c r="I17" s="16"/>
      <c r="J17" s="14"/>
      <c r="K17" s="16"/>
      <c r="L17" s="15"/>
      <c r="M17" s="17"/>
      <c r="N17" s="18"/>
      <c r="O17" s="17"/>
    </row>
    <row r="18" customFormat="false" ht="18.75" hidden="false" customHeight="true" outlineLevel="0" collapsed="false">
      <c r="A18" s="19" t="s">
        <v>282</v>
      </c>
      <c r="B18" s="20" t="s">
        <v>27</v>
      </c>
      <c r="C18" s="21"/>
      <c r="D18" s="21"/>
      <c r="E18" s="22" t="str">
        <f aca="false">IF(AND(C18&lt;&gt;"",D18&lt;&gt;""),IF(D18&gt;=C18,ROUND((D18-C18)*24,2),ROUND((D18-C18+1)*24,2)),"")</f>
        <v/>
      </c>
      <c r="F18" s="23" t="str">
        <f aca="false">IF(E18&lt;&gt;"",ROUND(E18*$I$2,0),"")</f>
        <v/>
      </c>
      <c r="G18" s="24"/>
      <c r="H18" s="25"/>
      <c r="I18" s="23"/>
      <c r="J18" s="24"/>
      <c r="K18" s="23"/>
      <c r="L18" s="25"/>
      <c r="M18" s="23"/>
      <c r="N18" s="24"/>
      <c r="O18" s="23"/>
    </row>
    <row r="19" customFormat="false" ht="18.75" hidden="false" customHeight="true" outlineLevel="0" collapsed="false">
      <c r="A19" s="26" t="s">
        <v>283</v>
      </c>
      <c r="B19" s="27" t="s">
        <v>29</v>
      </c>
      <c r="C19" s="28"/>
      <c r="D19" s="28"/>
      <c r="E19" s="29" t="str">
        <f aca="false">IF(AND(C19&lt;&gt;"",D19&lt;&gt;""),IF(D19&gt;=C19,ROUND((D19-C19)*24,2),ROUND((D19-C19+1)*24,2)),"")</f>
        <v/>
      </c>
      <c r="F19" s="30" t="str">
        <f aca="false">IF(E19&lt;&gt;"",ROUND(E19*$I$2,0),"")</f>
        <v/>
      </c>
      <c r="G19" s="31"/>
      <c r="H19" s="32"/>
      <c r="I19" s="30"/>
      <c r="J19" s="31"/>
      <c r="K19" s="30"/>
      <c r="L19" s="32"/>
      <c r="M19" s="30"/>
      <c r="N19" s="31"/>
      <c r="O19" s="30"/>
    </row>
    <row r="20" customFormat="false" ht="18.75" hidden="false" customHeight="true" outlineLevel="0" collapsed="false">
      <c r="A20" s="9" t="s">
        <v>284</v>
      </c>
      <c r="B20" s="10" t="s">
        <v>31</v>
      </c>
      <c r="C20" s="11"/>
      <c r="D20" s="11"/>
      <c r="E20" s="12" t="str">
        <f aca="false">IF(AND(C20&lt;&gt;"",D20&lt;&gt;""),IF(D20&gt;=C20,ROUND((D20-C20)*24,2),ROUND((D20-C20+1)*24,2)),"")</f>
        <v/>
      </c>
      <c r="F20" s="13" t="str">
        <f aca="false">IF(E20&lt;&gt;"",ROUND(E20*$I$2,0),"")</f>
        <v/>
      </c>
      <c r="G20" s="14"/>
      <c r="H20" s="15"/>
      <c r="I20" s="16"/>
      <c r="J20" s="14"/>
      <c r="K20" s="16"/>
      <c r="L20" s="15"/>
      <c r="M20" s="17"/>
      <c r="N20" s="18"/>
      <c r="O20" s="17"/>
    </row>
    <row r="21" customFormat="false" ht="18.75" hidden="false" customHeight="true" outlineLevel="0" collapsed="false">
      <c r="A21" s="9" t="s">
        <v>285</v>
      </c>
      <c r="B21" s="10" t="s">
        <v>33</v>
      </c>
      <c r="C21" s="11"/>
      <c r="D21" s="11"/>
      <c r="E21" s="12" t="str">
        <f aca="false">IF(AND(C21&lt;&gt;"",D21&lt;&gt;""),IF(D21&gt;=C21,ROUND((D21-C21)*24,2),ROUND((D21-C21+1)*24,2)),"")</f>
        <v/>
      </c>
      <c r="F21" s="13" t="str">
        <f aca="false">IF(E21&lt;&gt;"",ROUND(E21*$I$2,0),"")</f>
        <v/>
      </c>
      <c r="G21" s="14"/>
      <c r="H21" s="15"/>
      <c r="I21" s="16"/>
      <c r="J21" s="14"/>
      <c r="K21" s="16"/>
      <c r="L21" s="15"/>
      <c r="M21" s="17"/>
      <c r="N21" s="18"/>
      <c r="O21" s="17"/>
    </row>
    <row r="22" customFormat="false" ht="18.75" hidden="false" customHeight="true" outlineLevel="0" collapsed="false">
      <c r="A22" s="9" t="s">
        <v>286</v>
      </c>
      <c r="B22" s="10" t="s">
        <v>35</v>
      </c>
      <c r="C22" s="11"/>
      <c r="D22" s="11"/>
      <c r="E22" s="12" t="str">
        <f aca="false">IF(AND(C22&lt;&gt;"",D22&lt;&gt;""),IF(D22&gt;=C22,ROUND((D22-C22)*24,2),ROUND((D22-C22+1)*24,2)),"")</f>
        <v/>
      </c>
      <c r="F22" s="13" t="str">
        <f aca="false">IF(E22&lt;&gt;"",ROUND(E22*$I$2,0),"")</f>
        <v/>
      </c>
      <c r="G22" s="14"/>
      <c r="H22" s="15"/>
      <c r="I22" s="16"/>
      <c r="J22" s="14"/>
      <c r="K22" s="16"/>
      <c r="L22" s="15"/>
      <c r="M22" s="17"/>
      <c r="N22" s="18"/>
      <c r="O22" s="17"/>
    </row>
    <row r="23" customFormat="false" ht="18.75" hidden="false" customHeight="true" outlineLevel="0" collapsed="false">
      <c r="A23" s="9" t="s">
        <v>287</v>
      </c>
      <c r="B23" s="10" t="s">
        <v>23</v>
      </c>
      <c r="C23" s="11"/>
      <c r="D23" s="11"/>
      <c r="E23" s="12" t="str">
        <f aca="false">IF(AND(C23&lt;&gt;"",D23&lt;&gt;""),IF(D23&gt;=C23,ROUND((D23-C23)*24,2),ROUND((D23-C23+1)*24,2)),"")</f>
        <v/>
      </c>
      <c r="F23" s="13" t="str">
        <f aca="false">IF(E23&lt;&gt;"",ROUND(E23*$I$2,0),"")</f>
        <v/>
      </c>
      <c r="G23" s="14"/>
      <c r="H23" s="15"/>
      <c r="I23" s="16"/>
      <c r="J23" s="14"/>
      <c r="K23" s="16"/>
      <c r="L23" s="15"/>
      <c r="M23" s="17"/>
      <c r="N23" s="18"/>
      <c r="O23" s="17"/>
    </row>
    <row r="24" customFormat="false" ht="18.75" hidden="false" customHeight="true" outlineLevel="0" collapsed="false">
      <c r="A24" s="9" t="s">
        <v>288</v>
      </c>
      <c r="B24" s="10" t="s">
        <v>25</v>
      </c>
      <c r="C24" s="11"/>
      <c r="D24" s="11"/>
      <c r="E24" s="12" t="str">
        <f aca="false">IF(AND(C24&lt;&gt;"",D24&lt;&gt;""),IF(D24&gt;=C24,ROUND((D24-C24)*24,2),ROUND((D24-C24+1)*24,2)),"")</f>
        <v/>
      </c>
      <c r="F24" s="13" t="str">
        <f aca="false">IF(E24&lt;&gt;"",ROUND(E24*$I$2,0),"")</f>
        <v/>
      </c>
      <c r="G24" s="14"/>
      <c r="H24" s="15"/>
      <c r="I24" s="16"/>
      <c r="J24" s="14"/>
      <c r="K24" s="16"/>
      <c r="L24" s="15"/>
      <c r="M24" s="17"/>
      <c r="N24" s="18"/>
      <c r="O24" s="17"/>
    </row>
    <row r="25" customFormat="false" ht="18.75" hidden="false" customHeight="true" outlineLevel="0" collapsed="false">
      <c r="A25" s="19" t="s">
        <v>289</v>
      </c>
      <c r="B25" s="20" t="s">
        <v>27</v>
      </c>
      <c r="C25" s="21"/>
      <c r="D25" s="21"/>
      <c r="E25" s="22" t="str">
        <f aca="false">IF(AND(C25&lt;&gt;"",D25&lt;&gt;""),IF(D25&gt;=C25,ROUND((D25-C25)*24,2),ROUND((D25-C25+1)*24,2)),"")</f>
        <v/>
      </c>
      <c r="F25" s="23" t="str">
        <f aca="false">IF(E25&lt;&gt;"",ROUND(E25*$I$2,0),"")</f>
        <v/>
      </c>
      <c r="G25" s="24"/>
      <c r="H25" s="25"/>
      <c r="I25" s="23"/>
      <c r="J25" s="24"/>
      <c r="K25" s="23"/>
      <c r="L25" s="25"/>
      <c r="M25" s="23"/>
      <c r="N25" s="24"/>
      <c r="O25" s="23"/>
    </row>
    <row r="26" customFormat="false" ht="18.75" hidden="false" customHeight="true" outlineLevel="0" collapsed="false">
      <c r="A26" s="26" t="s">
        <v>290</v>
      </c>
      <c r="B26" s="27" t="s">
        <v>29</v>
      </c>
      <c r="C26" s="28"/>
      <c r="D26" s="28"/>
      <c r="E26" s="29" t="str">
        <f aca="false">IF(AND(C26&lt;&gt;"",D26&lt;&gt;""),IF(D26&gt;=C26,ROUND((D26-C26)*24,2),ROUND((D26-C26+1)*24,2)),"")</f>
        <v/>
      </c>
      <c r="F26" s="30" t="str">
        <f aca="false">IF(E26&lt;&gt;"",ROUND(E26*$I$2,0),"")</f>
        <v/>
      </c>
      <c r="G26" s="31"/>
      <c r="H26" s="32"/>
      <c r="I26" s="30"/>
      <c r="J26" s="31"/>
      <c r="K26" s="30"/>
      <c r="L26" s="32"/>
      <c r="M26" s="30"/>
      <c r="N26" s="31"/>
      <c r="O26" s="30"/>
    </row>
    <row r="27" customFormat="false" ht="18.75" hidden="false" customHeight="true" outlineLevel="0" collapsed="false">
      <c r="A27" s="9" t="s">
        <v>291</v>
      </c>
      <c r="B27" s="10" t="s">
        <v>31</v>
      </c>
      <c r="C27" s="11"/>
      <c r="D27" s="11"/>
      <c r="E27" s="12" t="str">
        <f aca="false">IF(AND(C27&lt;&gt;"",D27&lt;&gt;""),IF(D27&gt;=C27,ROUND((D27-C27)*24,2),ROUND((D27-C27+1)*24,2)),"")</f>
        <v/>
      </c>
      <c r="F27" s="13" t="str">
        <f aca="false">IF(E27&lt;&gt;"",ROUND(E27*$I$2,0),"")</f>
        <v/>
      </c>
      <c r="G27" s="14"/>
      <c r="H27" s="15"/>
      <c r="I27" s="16"/>
      <c r="J27" s="14"/>
      <c r="K27" s="16"/>
      <c r="L27" s="15"/>
      <c r="M27" s="17"/>
      <c r="N27" s="18"/>
      <c r="O27" s="17"/>
    </row>
    <row r="28" customFormat="false" ht="18.75" hidden="false" customHeight="true" outlineLevel="0" collapsed="false">
      <c r="A28" s="9" t="s">
        <v>292</v>
      </c>
      <c r="B28" s="10" t="s">
        <v>33</v>
      </c>
      <c r="C28" s="11"/>
      <c r="D28" s="11"/>
      <c r="E28" s="12" t="str">
        <f aca="false">IF(AND(C28&lt;&gt;"",D28&lt;&gt;""),IF(D28&gt;=C28,ROUND((D28-C28)*24,2),ROUND((D28-C28+1)*24,2)),"")</f>
        <v/>
      </c>
      <c r="F28" s="13" t="str">
        <f aca="false">IF(E28&lt;&gt;"",ROUND(E28*$I$2,0),"")</f>
        <v/>
      </c>
      <c r="G28" s="14"/>
      <c r="H28" s="15"/>
      <c r="I28" s="16"/>
      <c r="J28" s="14"/>
      <c r="K28" s="16"/>
      <c r="L28" s="15"/>
      <c r="M28" s="17"/>
      <c r="N28" s="18"/>
      <c r="O28" s="17"/>
    </row>
    <row r="29" customFormat="false" ht="18.75" hidden="false" customHeight="true" outlineLevel="0" collapsed="false">
      <c r="A29" s="9" t="s">
        <v>293</v>
      </c>
      <c r="B29" s="10" t="s">
        <v>35</v>
      </c>
      <c r="C29" s="11"/>
      <c r="D29" s="11"/>
      <c r="E29" s="12" t="str">
        <f aca="false">IF(AND(C29&lt;&gt;"",D29&lt;&gt;""),IF(D29&gt;=C29,ROUND((D29-C29)*24,2),ROUND((D29-C29+1)*24,2)),"")</f>
        <v/>
      </c>
      <c r="F29" s="13" t="str">
        <f aca="false">IF(E29&lt;&gt;"",ROUND(E29*$I$2,0),"")</f>
        <v/>
      </c>
      <c r="G29" s="14"/>
      <c r="H29" s="15"/>
      <c r="I29" s="16"/>
      <c r="J29" s="14"/>
      <c r="K29" s="16"/>
      <c r="L29" s="15"/>
      <c r="M29" s="17"/>
      <c r="N29" s="18"/>
      <c r="O29" s="17"/>
    </row>
    <row r="30" customFormat="false" ht="18.75" hidden="false" customHeight="true" outlineLevel="0" collapsed="false">
      <c r="A30" s="9" t="s">
        <v>294</v>
      </c>
      <c r="B30" s="10" t="s">
        <v>23</v>
      </c>
      <c r="C30" s="11"/>
      <c r="D30" s="11"/>
      <c r="E30" s="12" t="str">
        <f aca="false">IF(AND(C30&lt;&gt;"",D30&lt;&gt;""),IF(D30&gt;=C30,ROUND((D30-C30)*24,2),ROUND((D30-C30+1)*24,2)),"")</f>
        <v/>
      </c>
      <c r="F30" s="13" t="str">
        <f aca="false">IF(E30&lt;&gt;"",ROUND(E30*$I$2,0),"")</f>
        <v/>
      </c>
      <c r="G30" s="14"/>
      <c r="H30" s="15"/>
      <c r="I30" s="16"/>
      <c r="J30" s="14"/>
      <c r="K30" s="16"/>
      <c r="L30" s="15"/>
      <c r="M30" s="17"/>
      <c r="N30" s="18"/>
      <c r="O30" s="17"/>
    </row>
    <row r="31" customFormat="false" ht="18.75" hidden="false" customHeight="true" outlineLevel="0" collapsed="false">
      <c r="A31" s="9" t="s">
        <v>295</v>
      </c>
      <c r="B31" s="10" t="s">
        <v>25</v>
      </c>
      <c r="C31" s="11"/>
      <c r="D31" s="11"/>
      <c r="E31" s="12" t="str">
        <f aca="false">IF(AND(C31&lt;&gt;"",D31&lt;&gt;""),IF(D31&gt;=C31,ROUND((D31-C31)*24,2),ROUND((D31-C31+1)*24,2)),"")</f>
        <v/>
      </c>
      <c r="F31" s="13" t="str">
        <f aca="false">IF(E31&lt;&gt;"",ROUND(E31*$I$2,0),"")</f>
        <v/>
      </c>
      <c r="G31" s="14"/>
      <c r="H31" s="15"/>
      <c r="I31" s="16"/>
      <c r="J31" s="14"/>
      <c r="K31" s="16"/>
      <c r="L31" s="15"/>
      <c r="M31" s="17"/>
      <c r="N31" s="18"/>
      <c r="O31" s="17"/>
    </row>
    <row r="32" customFormat="false" ht="18.75" hidden="false" customHeight="true" outlineLevel="0" collapsed="false">
      <c r="A32" s="19" t="s">
        <v>296</v>
      </c>
      <c r="B32" s="20" t="s">
        <v>27</v>
      </c>
      <c r="C32" s="21"/>
      <c r="D32" s="21"/>
      <c r="E32" s="22" t="str">
        <f aca="false">IF(AND(C32&lt;&gt;"",D32&lt;&gt;""),IF(D32&gt;=C32,ROUND((D32-C32)*24,2),ROUND((D32-C32+1)*24,2)),"")</f>
        <v/>
      </c>
      <c r="F32" s="23" t="str">
        <f aca="false">IF(E32&lt;&gt;"",ROUND(E32*$I$2,0),"")</f>
        <v/>
      </c>
      <c r="G32" s="24"/>
      <c r="H32" s="25"/>
      <c r="I32" s="23"/>
      <c r="J32" s="24"/>
      <c r="K32" s="23"/>
      <c r="L32" s="25"/>
      <c r="M32" s="23"/>
      <c r="N32" s="24"/>
      <c r="O32" s="23"/>
    </row>
    <row r="33" customFormat="false" ht="18.75" hidden="false" customHeight="true" outlineLevel="0" collapsed="false">
      <c r="A33" s="26" t="s">
        <v>297</v>
      </c>
      <c r="B33" s="27" t="s">
        <v>29</v>
      </c>
      <c r="C33" s="28"/>
      <c r="D33" s="28"/>
      <c r="E33" s="29" t="str">
        <f aca="false">IF(AND(C33&lt;&gt;"",D33&lt;&gt;""),IF(D33&gt;=C33,ROUND((D33-C33)*24,2),ROUND((D33-C33+1)*24,2)),"")</f>
        <v/>
      </c>
      <c r="F33" s="30" t="str">
        <f aca="false">IF(E33&lt;&gt;"",ROUND(E33*$I$2,0),"")</f>
        <v/>
      </c>
      <c r="G33" s="31"/>
      <c r="H33" s="32"/>
      <c r="I33" s="30"/>
      <c r="J33" s="31"/>
      <c r="K33" s="30"/>
      <c r="L33" s="32"/>
      <c r="M33" s="30"/>
      <c r="N33" s="31"/>
      <c r="O33" s="30"/>
    </row>
    <row r="34" customFormat="false" ht="18.75" hidden="false" customHeight="true" outlineLevel="0" collapsed="false">
      <c r="A34" s="9" t="s">
        <v>298</v>
      </c>
      <c r="B34" s="10" t="s">
        <v>31</v>
      </c>
      <c r="C34" s="11"/>
      <c r="D34" s="11"/>
      <c r="E34" s="12" t="str">
        <f aca="false">IF(AND(C34&lt;&gt;"",D34&lt;&gt;""),IF(D34&gt;=C34,ROUND((D34-C34)*24,2),ROUND((D34-C34+1)*24,2)),"")</f>
        <v/>
      </c>
      <c r="F34" s="13" t="str">
        <f aca="false">IF(E34&lt;&gt;"",ROUND(E34*$I$2,0),"")</f>
        <v/>
      </c>
      <c r="G34" s="14"/>
      <c r="H34" s="15"/>
      <c r="I34" s="16"/>
      <c r="J34" s="14"/>
      <c r="K34" s="16"/>
      <c r="L34" s="15"/>
      <c r="M34" s="17"/>
      <c r="N34" s="18"/>
      <c r="O34" s="17"/>
    </row>
    <row r="35" customFormat="false" ht="3.75" hidden="false" customHeight="true" outlineLevel="0" collapsed="false"/>
    <row r="36" customFormat="false" ht="25.5" hidden="false" customHeight="true" outlineLevel="0" collapsed="false">
      <c r="A36" s="33" t="s">
        <v>60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 customFormat="false" ht="22.5" hidden="false" customHeight="true" outlineLevel="0" collapsed="false">
      <c r="A37" s="34" t="s">
        <v>61</v>
      </c>
      <c r="B37" s="34"/>
      <c r="C37" s="34"/>
      <c r="D37" s="34"/>
      <c r="E37" s="34"/>
      <c r="F37" s="35" t="n">
        <f aca="false">COUNT(E4:E34)</f>
        <v>0</v>
      </c>
      <c r="G37" s="35"/>
      <c r="H37" s="35"/>
      <c r="I37" s="35"/>
      <c r="J37" s="35"/>
      <c r="K37" s="35"/>
      <c r="L37" s="35"/>
      <c r="M37" s="35"/>
      <c r="N37" s="35"/>
      <c r="O37" s="35"/>
    </row>
    <row r="38" customFormat="false" ht="22.5" hidden="false" customHeight="true" outlineLevel="0" collapsed="false">
      <c r="A38" s="36" t="s">
        <v>62</v>
      </c>
      <c r="B38" s="36"/>
      <c r="C38" s="36"/>
      <c r="D38" s="36"/>
      <c r="E38" s="36"/>
      <c r="F38" s="37" t="n">
        <f aca="false">SUM(E4:E34)</f>
        <v>0</v>
      </c>
      <c r="G38" s="37"/>
      <c r="H38" s="37"/>
      <c r="I38" s="37"/>
      <c r="J38" s="37"/>
      <c r="K38" s="37"/>
      <c r="L38" s="37"/>
      <c r="M38" s="37"/>
      <c r="N38" s="37"/>
      <c r="O38" s="37"/>
    </row>
    <row r="39" customFormat="false" ht="22.5" hidden="false" customHeight="true" outlineLevel="0" collapsed="false">
      <c r="A39" s="38" t="s">
        <v>63</v>
      </c>
      <c r="B39" s="38"/>
      <c r="C39" s="38"/>
      <c r="D39" s="38"/>
      <c r="E39" s="38"/>
      <c r="F39" s="39" t="n">
        <f aca="false">SUM(F4:F34)</f>
        <v>0</v>
      </c>
      <c r="G39" s="39"/>
      <c r="H39" s="39"/>
      <c r="I39" s="39"/>
      <c r="J39" s="39"/>
      <c r="K39" s="39"/>
      <c r="L39" s="39"/>
      <c r="M39" s="39"/>
      <c r="N39" s="39"/>
      <c r="O39" s="39"/>
    </row>
    <row r="40" customFormat="false" ht="22.5" hidden="false" customHeight="true" outlineLevel="0" collapsed="false">
      <c r="A40" s="36" t="s">
        <v>64</v>
      </c>
      <c r="B40" s="36"/>
      <c r="C40" s="36"/>
      <c r="D40" s="36"/>
      <c r="E40" s="36"/>
      <c r="F40" s="40" t="n">
        <f aca="false">IF(F39=0,0,IFERROR(VLOOKUP(F39,税額表!$A$2:$B$74,2,TRUE()),0))</f>
        <v>0</v>
      </c>
      <c r="G40" s="40"/>
      <c r="H40" s="40"/>
      <c r="I40" s="40"/>
      <c r="J40" s="40"/>
      <c r="K40" s="40"/>
      <c r="L40" s="40"/>
      <c r="M40" s="40"/>
      <c r="N40" s="40"/>
      <c r="O40" s="40"/>
    </row>
    <row r="41" customFormat="false" ht="22.5" hidden="false" customHeight="true" outlineLevel="0" collapsed="false">
      <c r="A41" s="38" t="s">
        <v>65</v>
      </c>
      <c r="B41" s="38"/>
      <c r="C41" s="38"/>
      <c r="D41" s="38"/>
      <c r="E41" s="38"/>
      <c r="F41" s="39" t="n">
        <f aca="false">F39-F40</f>
        <v>0</v>
      </c>
      <c r="G41" s="39"/>
      <c r="H41" s="39"/>
      <c r="I41" s="39"/>
      <c r="J41" s="39"/>
      <c r="K41" s="39"/>
      <c r="L41" s="39"/>
      <c r="M41" s="39"/>
      <c r="N41" s="39"/>
      <c r="O41" s="39"/>
    </row>
    <row r="42" customFormat="false" ht="22.5" hidden="false" customHeight="true" outlineLevel="0" collapsed="false">
      <c r="A42" s="36" t="s">
        <v>66</v>
      </c>
      <c r="B42" s="36"/>
      <c r="C42" s="36"/>
      <c r="D42" s="36"/>
      <c r="E42" s="36"/>
      <c r="F42" s="40" t="n">
        <f aca="false">SUM(I4:I34)</f>
        <v>0</v>
      </c>
      <c r="G42" s="40"/>
      <c r="H42" s="40"/>
      <c r="I42" s="40"/>
      <c r="J42" s="40"/>
      <c r="K42" s="40"/>
      <c r="L42" s="40"/>
      <c r="M42" s="40"/>
      <c r="N42" s="40"/>
      <c r="O42" s="40"/>
    </row>
    <row r="43" customFormat="false" ht="22.5" hidden="false" customHeight="true" outlineLevel="0" collapsed="false">
      <c r="A43" s="36" t="s">
        <v>67</v>
      </c>
      <c r="B43" s="36"/>
      <c r="C43" s="36"/>
      <c r="D43" s="36"/>
      <c r="E43" s="36"/>
      <c r="F43" s="40" t="n">
        <f aca="false">SUMIF(L4:L34,"現金",K4:K34)+SUMIF(L4:L34,"個人カード",K4:K34)</f>
        <v>0</v>
      </c>
      <c r="G43" s="40"/>
      <c r="H43" s="40"/>
      <c r="I43" s="40"/>
      <c r="J43" s="40"/>
      <c r="K43" s="40"/>
      <c r="L43" s="40"/>
      <c r="M43" s="40"/>
      <c r="N43" s="40"/>
      <c r="O43" s="40"/>
    </row>
    <row r="44" customFormat="false" ht="22.5" hidden="false" customHeight="true" outlineLevel="0" collapsed="false">
      <c r="A44" s="41" t="s">
        <v>68</v>
      </c>
      <c r="B44" s="41"/>
      <c r="C44" s="41"/>
      <c r="D44" s="41"/>
      <c r="E44" s="41"/>
      <c r="F44" s="42" t="n">
        <f aca="false">SUM(M4:M34)</f>
        <v>0</v>
      </c>
      <c r="G44" s="42"/>
      <c r="H44" s="42"/>
      <c r="I44" s="42"/>
      <c r="J44" s="42"/>
      <c r="K44" s="42"/>
      <c r="L44" s="42"/>
      <c r="M44" s="42"/>
      <c r="N44" s="42"/>
      <c r="O44" s="42"/>
    </row>
    <row r="45" customFormat="false" ht="22.5" hidden="false" customHeight="true" outlineLevel="0" collapsed="false">
      <c r="A45" s="41" t="s">
        <v>69</v>
      </c>
      <c r="B45" s="41"/>
      <c r="C45" s="41"/>
      <c r="D45" s="41"/>
      <c r="E45" s="41"/>
      <c r="F45" s="42" t="n">
        <f aca="false">SUM(O4:O34)</f>
        <v>0</v>
      </c>
      <c r="G45" s="42"/>
      <c r="H45" s="42"/>
      <c r="I45" s="42"/>
      <c r="J45" s="42"/>
      <c r="K45" s="42"/>
      <c r="L45" s="42"/>
      <c r="M45" s="42"/>
      <c r="N45" s="42"/>
      <c r="O45" s="42"/>
    </row>
    <row r="46" customFormat="false" ht="22.5" hidden="false" customHeight="true" outlineLevel="0" collapsed="false">
      <c r="A46" s="43" t="s">
        <v>70</v>
      </c>
      <c r="B46" s="43"/>
      <c r="C46" s="43"/>
      <c r="D46" s="43"/>
      <c r="E46" s="43"/>
      <c r="F46" s="44" t="n">
        <f aca="false">'7月'!F43</f>
        <v>0</v>
      </c>
      <c r="G46" s="44"/>
      <c r="H46" s="44"/>
      <c r="I46" s="44"/>
      <c r="J46" s="44"/>
      <c r="K46" s="44"/>
      <c r="L46" s="44"/>
      <c r="M46" s="44"/>
      <c r="N46" s="44"/>
      <c r="O46" s="44"/>
    </row>
    <row r="47" customFormat="false" ht="22.5" hidden="false" customHeight="true" outlineLevel="0" collapsed="false">
      <c r="A47" s="45" t="s">
        <v>71</v>
      </c>
      <c r="B47" s="45"/>
      <c r="C47" s="45"/>
      <c r="D47" s="45"/>
      <c r="E47" s="45"/>
      <c r="F47" s="46" t="n">
        <f aca="false">F41+F42+F43+F44+F45+F46</f>
        <v>0</v>
      </c>
      <c r="G47" s="46"/>
      <c r="H47" s="46"/>
      <c r="I47" s="46"/>
      <c r="J47" s="46"/>
      <c r="K47" s="46"/>
      <c r="L47" s="46"/>
      <c r="M47" s="46"/>
      <c r="N47" s="46"/>
      <c r="O47" s="46"/>
    </row>
    <row r="49" customFormat="false" ht="13.5" hidden="false" customHeight="true" outlineLevel="0" collapsed="false">
      <c r="A49" s="47" t="s">
        <v>72</v>
      </c>
      <c r="B49" s="47"/>
      <c r="C49" s="48" t="s">
        <v>73</v>
      </c>
      <c r="D49" s="48"/>
      <c r="E49" s="49" t="s">
        <v>74</v>
      </c>
      <c r="F49" s="49"/>
      <c r="G49" s="50" t="s">
        <v>75</v>
      </c>
      <c r="H49" s="50"/>
      <c r="I49" s="51" t="s">
        <v>76</v>
      </c>
      <c r="J49" s="51"/>
      <c r="K49" s="52" t="s">
        <v>108</v>
      </c>
      <c r="L49" s="52"/>
    </row>
    <row r="50" customFormat="false" ht="30" hidden="false" customHeight="true" outlineLevel="0" collapsed="false">
      <c r="A50" s="53" t="s">
        <v>78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</row>
  </sheetData>
  <mergeCells count="36">
    <mergeCell ref="A1:O1"/>
    <mergeCell ref="A2:B2"/>
    <mergeCell ref="C2:F2"/>
    <mergeCell ref="G2:H2"/>
    <mergeCell ref="I2:K2"/>
    <mergeCell ref="L2:O2"/>
    <mergeCell ref="A36:O36"/>
    <mergeCell ref="A37:E37"/>
    <mergeCell ref="F37:O37"/>
    <mergeCell ref="A38:E38"/>
    <mergeCell ref="F38:O38"/>
    <mergeCell ref="A39:E39"/>
    <mergeCell ref="F39:O39"/>
    <mergeCell ref="A40:E40"/>
    <mergeCell ref="F40:O40"/>
    <mergeCell ref="A41:E41"/>
    <mergeCell ref="F41:O41"/>
    <mergeCell ref="A42:E42"/>
    <mergeCell ref="F42:O42"/>
    <mergeCell ref="A43:E43"/>
    <mergeCell ref="F43:O43"/>
    <mergeCell ref="A44:E44"/>
    <mergeCell ref="F44:O44"/>
    <mergeCell ref="A45:E45"/>
    <mergeCell ref="F45:O45"/>
    <mergeCell ref="A46:E46"/>
    <mergeCell ref="F46:O46"/>
    <mergeCell ref="A47:E47"/>
    <mergeCell ref="F47:O47"/>
    <mergeCell ref="A49:B49"/>
    <mergeCell ref="C49:D49"/>
    <mergeCell ref="E49:F49"/>
    <mergeCell ref="G49:H49"/>
    <mergeCell ref="I49:J49"/>
    <mergeCell ref="K49:L49"/>
    <mergeCell ref="A50:O50"/>
  </mergeCells>
  <dataValidations count="1">
    <dataValidation allowBlank="true" error="「現金」「個人カード」「法人カード」から選択してください。" errorStyle="stop" errorTitle="入力エラー" operator="between" showDropDown="false" showErrorMessage="true" showInputMessage="false" sqref="L4:L34" type="list">
      <formula1>"現金,個人カード,法人カード"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6.82"/>
    <col collapsed="false" customWidth="true" hidden="false" outlineLevel="0" max="2" min="2" style="0" width="3.81"/>
    <col collapsed="false" customWidth="true" hidden="false" outlineLevel="0" max="4" min="3" style="0" width="11.04"/>
    <col collapsed="false" customWidth="true" hidden="false" outlineLevel="0" max="5" min="5" style="0" width="8.99"/>
    <col collapsed="false" customWidth="true" hidden="false" outlineLevel="0" max="6" min="6" style="0" width="11.04"/>
    <col collapsed="false" customWidth="true" hidden="false" outlineLevel="0" max="7" min="7" style="0" width="14.04"/>
    <col collapsed="false" customWidth="true" hidden="false" outlineLevel="0" max="9" min="8" style="0" width="11.04"/>
    <col collapsed="false" customWidth="true" hidden="false" outlineLevel="0" max="10" min="10" style="0" width="17.99"/>
    <col collapsed="false" customWidth="true" hidden="false" outlineLevel="0" max="11" min="11" style="0" width="12.81"/>
    <col collapsed="false" customWidth="true" hidden="false" outlineLevel="0" max="12" min="12" style="0" width="11.99"/>
    <col collapsed="false" customWidth="true" hidden="false" outlineLevel="0" max="13" min="13" style="0" width="9.82"/>
    <col collapsed="false" customWidth="true" hidden="false" outlineLevel="0" max="14" min="14" style="0" width="15.81"/>
    <col collapsed="false" customWidth="true" hidden="false" outlineLevel="0" max="15" min="15" style="0" width="12.81"/>
  </cols>
  <sheetData>
    <row r="1" customFormat="false" ht="36" hidden="false" customHeight="true" outlineLevel="0" collapsed="false">
      <c r="A1" s="2" t="s">
        <v>299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4" hidden="false" customHeight="true" outlineLevel="0" collapsed="false">
      <c r="A2" s="3" t="s">
        <v>3</v>
      </c>
      <c r="B2" s="3"/>
      <c r="C2" s="4" t="s">
        <v>4</v>
      </c>
      <c r="D2" s="4"/>
      <c r="E2" s="4"/>
      <c r="F2" s="4"/>
      <c r="G2" s="3" t="s">
        <v>5</v>
      </c>
      <c r="H2" s="3"/>
      <c r="I2" s="5" t="n">
        <v>1300</v>
      </c>
      <c r="J2" s="5"/>
      <c r="K2" s="5"/>
      <c r="L2" s="6" t="s">
        <v>6</v>
      </c>
      <c r="M2" s="6"/>
      <c r="N2" s="6"/>
      <c r="O2" s="6"/>
    </row>
    <row r="3" customFormat="false" ht="42" hidden="false" customHeight="true" outlineLevel="0" collapsed="false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8" t="s">
        <v>19</v>
      </c>
      <c r="N3" s="8" t="s">
        <v>20</v>
      </c>
      <c r="O3" s="8" t="s">
        <v>21</v>
      </c>
    </row>
    <row r="4" customFormat="false" ht="18.75" hidden="false" customHeight="true" outlineLevel="0" collapsed="false">
      <c r="A4" s="9" t="s">
        <v>300</v>
      </c>
      <c r="B4" s="10" t="s">
        <v>33</v>
      </c>
      <c r="C4" s="11"/>
      <c r="D4" s="11"/>
      <c r="E4" s="12" t="str">
        <f aca="false">IF(AND(C4&lt;&gt;"",D4&lt;&gt;""),IF(D4&gt;=C4,ROUND((D4-C4)*24,2),ROUND((D4-C4+1)*24,2)),"")</f>
        <v/>
      </c>
      <c r="F4" s="13" t="str">
        <f aca="false">IF(E4&lt;&gt;"",ROUND(E4*$I$2,0),"")</f>
        <v/>
      </c>
      <c r="G4" s="14"/>
      <c r="H4" s="15"/>
      <c r="I4" s="16"/>
      <c r="J4" s="14"/>
      <c r="K4" s="16"/>
      <c r="L4" s="15"/>
      <c r="M4" s="17"/>
      <c r="N4" s="18"/>
      <c r="O4" s="17"/>
    </row>
    <row r="5" customFormat="false" ht="18.75" hidden="false" customHeight="true" outlineLevel="0" collapsed="false">
      <c r="A5" s="9" t="s">
        <v>301</v>
      </c>
      <c r="B5" s="10" t="s">
        <v>35</v>
      </c>
      <c r="C5" s="11"/>
      <c r="D5" s="11"/>
      <c r="E5" s="12" t="str">
        <f aca="false">IF(AND(C5&lt;&gt;"",D5&lt;&gt;""),IF(D5&gt;=C5,ROUND((D5-C5)*24,2),ROUND((D5-C5+1)*24,2)),"")</f>
        <v/>
      </c>
      <c r="F5" s="13" t="str">
        <f aca="false">IF(E5&lt;&gt;"",ROUND(E5*$I$2,0),"")</f>
        <v/>
      </c>
      <c r="G5" s="14"/>
      <c r="H5" s="15"/>
      <c r="I5" s="16"/>
      <c r="J5" s="14"/>
      <c r="K5" s="16"/>
      <c r="L5" s="15"/>
      <c r="M5" s="17"/>
      <c r="N5" s="18"/>
      <c r="O5" s="17"/>
    </row>
    <row r="6" customFormat="false" ht="18.75" hidden="false" customHeight="true" outlineLevel="0" collapsed="false">
      <c r="A6" s="9" t="s">
        <v>302</v>
      </c>
      <c r="B6" s="10" t="s">
        <v>23</v>
      </c>
      <c r="C6" s="11"/>
      <c r="D6" s="11"/>
      <c r="E6" s="12" t="str">
        <f aca="false">IF(AND(C6&lt;&gt;"",D6&lt;&gt;""),IF(D6&gt;=C6,ROUND((D6-C6)*24,2),ROUND((D6-C6+1)*24,2)),"")</f>
        <v/>
      </c>
      <c r="F6" s="13" t="str">
        <f aca="false">IF(E6&lt;&gt;"",ROUND(E6*$I$2,0),"")</f>
        <v/>
      </c>
      <c r="G6" s="14"/>
      <c r="H6" s="15"/>
      <c r="I6" s="16"/>
      <c r="J6" s="14"/>
      <c r="K6" s="16"/>
      <c r="L6" s="15"/>
      <c r="M6" s="17"/>
      <c r="N6" s="18"/>
      <c r="O6" s="17"/>
    </row>
    <row r="7" customFormat="false" ht="18.75" hidden="false" customHeight="true" outlineLevel="0" collapsed="false">
      <c r="A7" s="9" t="s">
        <v>303</v>
      </c>
      <c r="B7" s="10" t="s">
        <v>25</v>
      </c>
      <c r="C7" s="11"/>
      <c r="D7" s="11"/>
      <c r="E7" s="12" t="str">
        <f aca="false">IF(AND(C7&lt;&gt;"",D7&lt;&gt;""),IF(D7&gt;=C7,ROUND((D7-C7)*24,2),ROUND((D7-C7+1)*24,2)),"")</f>
        <v/>
      </c>
      <c r="F7" s="13" t="str">
        <f aca="false">IF(E7&lt;&gt;"",ROUND(E7*$I$2,0),"")</f>
        <v/>
      </c>
      <c r="G7" s="14"/>
      <c r="H7" s="15"/>
      <c r="I7" s="16"/>
      <c r="J7" s="14"/>
      <c r="K7" s="16"/>
      <c r="L7" s="15"/>
      <c r="M7" s="17"/>
      <c r="N7" s="18"/>
      <c r="O7" s="17"/>
    </row>
    <row r="8" customFormat="false" ht="18.75" hidden="false" customHeight="true" outlineLevel="0" collapsed="false">
      <c r="A8" s="19" t="s">
        <v>304</v>
      </c>
      <c r="B8" s="20" t="s">
        <v>27</v>
      </c>
      <c r="C8" s="21"/>
      <c r="D8" s="21"/>
      <c r="E8" s="22" t="str">
        <f aca="false">IF(AND(C8&lt;&gt;"",D8&lt;&gt;""),IF(D8&gt;=C8,ROUND((D8-C8)*24,2),ROUND((D8-C8+1)*24,2)),"")</f>
        <v/>
      </c>
      <c r="F8" s="23" t="str">
        <f aca="false">IF(E8&lt;&gt;"",ROUND(E8*$I$2,0),"")</f>
        <v/>
      </c>
      <c r="G8" s="24"/>
      <c r="H8" s="25"/>
      <c r="I8" s="23"/>
      <c r="J8" s="24"/>
      <c r="K8" s="23"/>
      <c r="L8" s="25"/>
      <c r="M8" s="23"/>
      <c r="N8" s="24"/>
      <c r="O8" s="23"/>
    </row>
    <row r="9" customFormat="false" ht="18.75" hidden="false" customHeight="true" outlineLevel="0" collapsed="false">
      <c r="A9" s="26" t="s">
        <v>305</v>
      </c>
      <c r="B9" s="27" t="s">
        <v>29</v>
      </c>
      <c r="C9" s="28"/>
      <c r="D9" s="28"/>
      <c r="E9" s="29" t="str">
        <f aca="false">IF(AND(C9&lt;&gt;"",D9&lt;&gt;""),IF(D9&gt;=C9,ROUND((D9-C9)*24,2),ROUND((D9-C9+1)*24,2)),"")</f>
        <v/>
      </c>
      <c r="F9" s="30" t="str">
        <f aca="false">IF(E9&lt;&gt;"",ROUND(E9*$I$2,0),"")</f>
        <v/>
      </c>
      <c r="G9" s="31"/>
      <c r="H9" s="32"/>
      <c r="I9" s="30"/>
      <c r="J9" s="31"/>
      <c r="K9" s="30"/>
      <c r="L9" s="32"/>
      <c r="M9" s="30"/>
      <c r="N9" s="31"/>
      <c r="O9" s="30"/>
    </row>
    <row r="10" customFormat="false" ht="18.75" hidden="false" customHeight="true" outlineLevel="0" collapsed="false">
      <c r="A10" s="9" t="s">
        <v>306</v>
      </c>
      <c r="B10" s="10" t="s">
        <v>31</v>
      </c>
      <c r="C10" s="11"/>
      <c r="D10" s="11"/>
      <c r="E10" s="12" t="str">
        <f aca="false">IF(AND(C10&lt;&gt;"",D10&lt;&gt;""),IF(D10&gt;=C10,ROUND((D10-C10)*24,2),ROUND((D10-C10+1)*24,2)),"")</f>
        <v/>
      </c>
      <c r="F10" s="13" t="str">
        <f aca="false">IF(E10&lt;&gt;"",ROUND(E10*$I$2,0),"")</f>
        <v/>
      </c>
      <c r="G10" s="14"/>
      <c r="H10" s="15"/>
      <c r="I10" s="16"/>
      <c r="J10" s="14"/>
      <c r="K10" s="16"/>
      <c r="L10" s="15"/>
      <c r="M10" s="17"/>
      <c r="N10" s="18"/>
      <c r="O10" s="17"/>
    </row>
    <row r="11" customFormat="false" ht="18.75" hidden="false" customHeight="true" outlineLevel="0" collapsed="false">
      <c r="A11" s="9" t="s">
        <v>307</v>
      </c>
      <c r="B11" s="10" t="s">
        <v>33</v>
      </c>
      <c r="C11" s="11"/>
      <c r="D11" s="11"/>
      <c r="E11" s="12" t="str">
        <f aca="false">IF(AND(C11&lt;&gt;"",D11&lt;&gt;""),IF(D11&gt;=C11,ROUND((D11-C11)*24,2),ROUND((D11-C11+1)*24,2)),"")</f>
        <v/>
      </c>
      <c r="F11" s="13" t="str">
        <f aca="false">IF(E11&lt;&gt;"",ROUND(E11*$I$2,0),"")</f>
        <v/>
      </c>
      <c r="G11" s="14"/>
      <c r="H11" s="15"/>
      <c r="I11" s="16"/>
      <c r="J11" s="14"/>
      <c r="K11" s="16"/>
      <c r="L11" s="15"/>
      <c r="M11" s="17"/>
      <c r="N11" s="18"/>
      <c r="O11" s="17"/>
    </row>
    <row r="12" customFormat="false" ht="18.75" hidden="false" customHeight="true" outlineLevel="0" collapsed="false">
      <c r="A12" s="9" t="s">
        <v>308</v>
      </c>
      <c r="B12" s="10" t="s">
        <v>35</v>
      </c>
      <c r="C12" s="11"/>
      <c r="D12" s="11"/>
      <c r="E12" s="12" t="str">
        <f aca="false">IF(AND(C12&lt;&gt;"",D12&lt;&gt;""),IF(D12&gt;=C12,ROUND((D12-C12)*24,2),ROUND((D12-C12+1)*24,2)),"")</f>
        <v/>
      </c>
      <c r="F12" s="13" t="str">
        <f aca="false">IF(E12&lt;&gt;"",ROUND(E12*$I$2,0),"")</f>
        <v/>
      </c>
      <c r="G12" s="14"/>
      <c r="H12" s="15"/>
      <c r="I12" s="16"/>
      <c r="J12" s="14"/>
      <c r="K12" s="16"/>
      <c r="L12" s="15"/>
      <c r="M12" s="17"/>
      <c r="N12" s="18"/>
      <c r="O12" s="17"/>
    </row>
    <row r="13" customFormat="false" ht="18.75" hidden="false" customHeight="true" outlineLevel="0" collapsed="false">
      <c r="A13" s="9" t="s">
        <v>309</v>
      </c>
      <c r="B13" s="10" t="s">
        <v>23</v>
      </c>
      <c r="C13" s="11"/>
      <c r="D13" s="11"/>
      <c r="E13" s="12" t="str">
        <f aca="false">IF(AND(C13&lt;&gt;"",D13&lt;&gt;""),IF(D13&gt;=C13,ROUND((D13-C13)*24,2),ROUND((D13-C13+1)*24,2)),"")</f>
        <v/>
      </c>
      <c r="F13" s="13" t="str">
        <f aca="false">IF(E13&lt;&gt;"",ROUND(E13*$I$2,0),"")</f>
        <v/>
      </c>
      <c r="G13" s="14"/>
      <c r="H13" s="15"/>
      <c r="I13" s="16"/>
      <c r="J13" s="14"/>
      <c r="K13" s="16"/>
      <c r="L13" s="15"/>
      <c r="M13" s="17"/>
      <c r="N13" s="18"/>
      <c r="O13" s="17"/>
    </row>
    <row r="14" customFormat="false" ht="18.75" hidden="false" customHeight="true" outlineLevel="0" collapsed="false">
      <c r="A14" s="9" t="s">
        <v>310</v>
      </c>
      <c r="B14" s="10" t="s">
        <v>25</v>
      </c>
      <c r="C14" s="11"/>
      <c r="D14" s="11"/>
      <c r="E14" s="12" t="str">
        <f aca="false">IF(AND(C14&lt;&gt;"",D14&lt;&gt;""),IF(D14&gt;=C14,ROUND((D14-C14)*24,2),ROUND((D14-C14+1)*24,2)),"")</f>
        <v/>
      </c>
      <c r="F14" s="13" t="str">
        <f aca="false">IF(E14&lt;&gt;"",ROUND(E14*$I$2,0),"")</f>
        <v/>
      </c>
      <c r="G14" s="14"/>
      <c r="H14" s="15"/>
      <c r="I14" s="16"/>
      <c r="J14" s="14"/>
      <c r="K14" s="16"/>
      <c r="L14" s="15"/>
      <c r="M14" s="17"/>
      <c r="N14" s="18"/>
      <c r="O14" s="17"/>
    </row>
    <row r="15" customFormat="false" ht="18.75" hidden="false" customHeight="true" outlineLevel="0" collapsed="false">
      <c r="A15" s="19" t="s">
        <v>311</v>
      </c>
      <c r="B15" s="20" t="s">
        <v>27</v>
      </c>
      <c r="C15" s="21"/>
      <c r="D15" s="21"/>
      <c r="E15" s="22" t="str">
        <f aca="false">IF(AND(C15&lt;&gt;"",D15&lt;&gt;""),IF(D15&gt;=C15,ROUND((D15-C15)*24,2),ROUND((D15-C15+1)*24,2)),"")</f>
        <v/>
      </c>
      <c r="F15" s="23" t="str">
        <f aca="false">IF(E15&lt;&gt;"",ROUND(E15*$I$2,0),"")</f>
        <v/>
      </c>
      <c r="G15" s="24"/>
      <c r="H15" s="25"/>
      <c r="I15" s="23"/>
      <c r="J15" s="24"/>
      <c r="K15" s="23"/>
      <c r="L15" s="25"/>
      <c r="M15" s="23"/>
      <c r="N15" s="24"/>
      <c r="O15" s="23"/>
    </row>
    <row r="16" customFormat="false" ht="18.75" hidden="false" customHeight="true" outlineLevel="0" collapsed="false">
      <c r="A16" s="26" t="s">
        <v>312</v>
      </c>
      <c r="B16" s="27" t="s">
        <v>29</v>
      </c>
      <c r="C16" s="28"/>
      <c r="D16" s="28"/>
      <c r="E16" s="29" t="str">
        <f aca="false">IF(AND(C16&lt;&gt;"",D16&lt;&gt;""),IF(D16&gt;=C16,ROUND((D16-C16)*24,2),ROUND((D16-C16+1)*24,2)),"")</f>
        <v/>
      </c>
      <c r="F16" s="30" t="str">
        <f aca="false">IF(E16&lt;&gt;"",ROUND(E16*$I$2,0),"")</f>
        <v/>
      </c>
      <c r="G16" s="31"/>
      <c r="H16" s="32"/>
      <c r="I16" s="30"/>
      <c r="J16" s="31"/>
      <c r="K16" s="30"/>
      <c r="L16" s="32"/>
      <c r="M16" s="30"/>
      <c r="N16" s="31"/>
      <c r="O16" s="30"/>
    </row>
    <row r="17" customFormat="false" ht="18.75" hidden="false" customHeight="true" outlineLevel="0" collapsed="false">
      <c r="A17" s="9" t="s">
        <v>313</v>
      </c>
      <c r="B17" s="10" t="s">
        <v>31</v>
      </c>
      <c r="C17" s="11"/>
      <c r="D17" s="11"/>
      <c r="E17" s="12" t="str">
        <f aca="false">IF(AND(C17&lt;&gt;"",D17&lt;&gt;""),IF(D17&gt;=C17,ROUND((D17-C17)*24,2),ROUND((D17-C17+1)*24,2)),"")</f>
        <v/>
      </c>
      <c r="F17" s="13" t="str">
        <f aca="false">IF(E17&lt;&gt;"",ROUND(E17*$I$2,0),"")</f>
        <v/>
      </c>
      <c r="G17" s="14"/>
      <c r="H17" s="15"/>
      <c r="I17" s="16"/>
      <c r="J17" s="14"/>
      <c r="K17" s="16"/>
      <c r="L17" s="15"/>
      <c r="M17" s="17"/>
      <c r="N17" s="18"/>
      <c r="O17" s="17"/>
    </row>
    <row r="18" customFormat="false" ht="18.75" hidden="false" customHeight="true" outlineLevel="0" collapsed="false">
      <c r="A18" s="9" t="s">
        <v>314</v>
      </c>
      <c r="B18" s="10" t="s">
        <v>33</v>
      </c>
      <c r="C18" s="11"/>
      <c r="D18" s="11"/>
      <c r="E18" s="12" t="str">
        <f aca="false">IF(AND(C18&lt;&gt;"",D18&lt;&gt;""),IF(D18&gt;=C18,ROUND((D18-C18)*24,2),ROUND((D18-C18+1)*24,2)),"")</f>
        <v/>
      </c>
      <c r="F18" s="13" t="str">
        <f aca="false">IF(E18&lt;&gt;"",ROUND(E18*$I$2,0),"")</f>
        <v/>
      </c>
      <c r="G18" s="14"/>
      <c r="H18" s="15"/>
      <c r="I18" s="16"/>
      <c r="J18" s="14"/>
      <c r="K18" s="16"/>
      <c r="L18" s="15"/>
      <c r="M18" s="17"/>
      <c r="N18" s="18"/>
      <c r="O18" s="17"/>
    </row>
    <row r="19" customFormat="false" ht="18.75" hidden="false" customHeight="true" outlineLevel="0" collapsed="false">
      <c r="A19" s="9" t="s">
        <v>315</v>
      </c>
      <c r="B19" s="10" t="s">
        <v>35</v>
      </c>
      <c r="C19" s="11"/>
      <c r="D19" s="11"/>
      <c r="E19" s="12" t="str">
        <f aca="false">IF(AND(C19&lt;&gt;"",D19&lt;&gt;""),IF(D19&gt;=C19,ROUND((D19-C19)*24,2),ROUND((D19-C19+1)*24,2)),"")</f>
        <v/>
      </c>
      <c r="F19" s="13" t="str">
        <f aca="false">IF(E19&lt;&gt;"",ROUND(E19*$I$2,0),"")</f>
        <v/>
      </c>
      <c r="G19" s="14"/>
      <c r="H19" s="15"/>
      <c r="I19" s="16"/>
      <c r="J19" s="14"/>
      <c r="K19" s="16"/>
      <c r="L19" s="15"/>
      <c r="M19" s="17"/>
      <c r="N19" s="18"/>
      <c r="O19" s="17"/>
    </row>
    <row r="20" customFormat="false" ht="18.75" hidden="false" customHeight="true" outlineLevel="0" collapsed="false">
      <c r="A20" s="9" t="s">
        <v>316</v>
      </c>
      <c r="B20" s="10" t="s">
        <v>23</v>
      </c>
      <c r="C20" s="11"/>
      <c r="D20" s="11"/>
      <c r="E20" s="12" t="str">
        <f aca="false">IF(AND(C20&lt;&gt;"",D20&lt;&gt;""),IF(D20&gt;=C20,ROUND((D20-C20)*24,2),ROUND((D20-C20+1)*24,2)),"")</f>
        <v/>
      </c>
      <c r="F20" s="13" t="str">
        <f aca="false">IF(E20&lt;&gt;"",ROUND(E20*$I$2,0),"")</f>
        <v/>
      </c>
      <c r="G20" s="14"/>
      <c r="H20" s="15"/>
      <c r="I20" s="16"/>
      <c r="J20" s="14"/>
      <c r="K20" s="16"/>
      <c r="L20" s="15"/>
      <c r="M20" s="17"/>
      <c r="N20" s="18"/>
      <c r="O20" s="17"/>
    </row>
    <row r="21" customFormat="false" ht="18.75" hidden="false" customHeight="true" outlineLevel="0" collapsed="false">
      <c r="A21" s="9" t="s">
        <v>317</v>
      </c>
      <c r="B21" s="10" t="s">
        <v>25</v>
      </c>
      <c r="C21" s="11"/>
      <c r="D21" s="11"/>
      <c r="E21" s="12" t="str">
        <f aca="false">IF(AND(C21&lt;&gt;"",D21&lt;&gt;""),IF(D21&gt;=C21,ROUND((D21-C21)*24,2),ROUND((D21-C21+1)*24,2)),"")</f>
        <v/>
      </c>
      <c r="F21" s="13" t="str">
        <f aca="false">IF(E21&lt;&gt;"",ROUND(E21*$I$2,0),"")</f>
        <v/>
      </c>
      <c r="G21" s="14"/>
      <c r="H21" s="15"/>
      <c r="I21" s="16"/>
      <c r="J21" s="14"/>
      <c r="K21" s="16"/>
      <c r="L21" s="15"/>
      <c r="M21" s="17"/>
      <c r="N21" s="18"/>
      <c r="O21" s="17"/>
    </row>
    <row r="22" customFormat="false" ht="18.75" hidden="false" customHeight="true" outlineLevel="0" collapsed="false">
      <c r="A22" s="19" t="s">
        <v>318</v>
      </c>
      <c r="B22" s="20" t="s">
        <v>27</v>
      </c>
      <c r="C22" s="21"/>
      <c r="D22" s="21"/>
      <c r="E22" s="22" t="str">
        <f aca="false">IF(AND(C22&lt;&gt;"",D22&lt;&gt;""),IF(D22&gt;=C22,ROUND((D22-C22)*24,2),ROUND((D22-C22+1)*24,2)),"")</f>
        <v/>
      </c>
      <c r="F22" s="23" t="str">
        <f aca="false">IF(E22&lt;&gt;"",ROUND(E22*$I$2,0),"")</f>
        <v/>
      </c>
      <c r="G22" s="24"/>
      <c r="H22" s="25"/>
      <c r="I22" s="23"/>
      <c r="J22" s="24"/>
      <c r="K22" s="23"/>
      <c r="L22" s="25"/>
      <c r="M22" s="23"/>
      <c r="N22" s="24"/>
      <c r="O22" s="23"/>
    </row>
    <row r="23" customFormat="false" ht="18.75" hidden="false" customHeight="true" outlineLevel="0" collapsed="false">
      <c r="A23" s="26" t="s">
        <v>319</v>
      </c>
      <c r="B23" s="27" t="s">
        <v>29</v>
      </c>
      <c r="C23" s="28"/>
      <c r="D23" s="28"/>
      <c r="E23" s="29" t="str">
        <f aca="false">IF(AND(C23&lt;&gt;"",D23&lt;&gt;""),IF(D23&gt;=C23,ROUND((D23-C23)*24,2),ROUND((D23-C23+1)*24,2)),"")</f>
        <v/>
      </c>
      <c r="F23" s="30" t="str">
        <f aca="false">IF(E23&lt;&gt;"",ROUND(E23*$I$2,0),"")</f>
        <v/>
      </c>
      <c r="G23" s="31"/>
      <c r="H23" s="32"/>
      <c r="I23" s="30"/>
      <c r="J23" s="31"/>
      <c r="K23" s="30"/>
      <c r="L23" s="32"/>
      <c r="M23" s="30"/>
      <c r="N23" s="31"/>
      <c r="O23" s="30"/>
    </row>
    <row r="24" customFormat="false" ht="18.75" hidden="false" customHeight="true" outlineLevel="0" collapsed="false">
      <c r="A24" s="9" t="s">
        <v>320</v>
      </c>
      <c r="B24" s="10" t="s">
        <v>31</v>
      </c>
      <c r="C24" s="11"/>
      <c r="D24" s="11"/>
      <c r="E24" s="12" t="str">
        <f aca="false">IF(AND(C24&lt;&gt;"",D24&lt;&gt;""),IF(D24&gt;=C24,ROUND((D24-C24)*24,2),ROUND((D24-C24+1)*24,2)),"")</f>
        <v/>
      </c>
      <c r="F24" s="13" t="str">
        <f aca="false">IF(E24&lt;&gt;"",ROUND(E24*$I$2,0),"")</f>
        <v/>
      </c>
      <c r="G24" s="14"/>
      <c r="H24" s="15"/>
      <c r="I24" s="16"/>
      <c r="J24" s="14"/>
      <c r="K24" s="16"/>
      <c r="L24" s="15"/>
      <c r="M24" s="17"/>
      <c r="N24" s="18"/>
      <c r="O24" s="17"/>
    </row>
    <row r="25" customFormat="false" ht="18.75" hidden="false" customHeight="true" outlineLevel="0" collapsed="false">
      <c r="A25" s="9" t="s">
        <v>321</v>
      </c>
      <c r="B25" s="10" t="s">
        <v>33</v>
      </c>
      <c r="C25" s="11"/>
      <c r="D25" s="11"/>
      <c r="E25" s="12" t="str">
        <f aca="false">IF(AND(C25&lt;&gt;"",D25&lt;&gt;""),IF(D25&gt;=C25,ROUND((D25-C25)*24,2),ROUND((D25-C25+1)*24,2)),"")</f>
        <v/>
      </c>
      <c r="F25" s="13" t="str">
        <f aca="false">IF(E25&lt;&gt;"",ROUND(E25*$I$2,0),"")</f>
        <v/>
      </c>
      <c r="G25" s="14"/>
      <c r="H25" s="15"/>
      <c r="I25" s="16"/>
      <c r="J25" s="14"/>
      <c r="K25" s="16"/>
      <c r="L25" s="15"/>
      <c r="M25" s="17"/>
      <c r="N25" s="18"/>
      <c r="O25" s="17"/>
    </row>
    <row r="26" customFormat="false" ht="18.75" hidden="false" customHeight="true" outlineLevel="0" collapsed="false">
      <c r="A26" s="9" t="s">
        <v>322</v>
      </c>
      <c r="B26" s="10" t="s">
        <v>35</v>
      </c>
      <c r="C26" s="11"/>
      <c r="D26" s="11"/>
      <c r="E26" s="12" t="str">
        <f aca="false">IF(AND(C26&lt;&gt;"",D26&lt;&gt;""),IF(D26&gt;=C26,ROUND((D26-C26)*24,2),ROUND((D26-C26+1)*24,2)),"")</f>
        <v/>
      </c>
      <c r="F26" s="13" t="str">
        <f aca="false">IF(E26&lt;&gt;"",ROUND(E26*$I$2,0),"")</f>
        <v/>
      </c>
      <c r="G26" s="14"/>
      <c r="H26" s="15"/>
      <c r="I26" s="16"/>
      <c r="J26" s="14"/>
      <c r="K26" s="16"/>
      <c r="L26" s="15"/>
      <c r="M26" s="17"/>
      <c r="N26" s="18"/>
      <c r="O26" s="17"/>
    </row>
    <row r="27" customFormat="false" ht="18.75" hidden="false" customHeight="true" outlineLevel="0" collapsed="false">
      <c r="A27" s="9" t="s">
        <v>323</v>
      </c>
      <c r="B27" s="10" t="s">
        <v>23</v>
      </c>
      <c r="C27" s="11"/>
      <c r="D27" s="11"/>
      <c r="E27" s="12" t="str">
        <f aca="false">IF(AND(C27&lt;&gt;"",D27&lt;&gt;""),IF(D27&gt;=C27,ROUND((D27-C27)*24,2),ROUND((D27-C27+1)*24,2)),"")</f>
        <v/>
      </c>
      <c r="F27" s="13" t="str">
        <f aca="false">IF(E27&lt;&gt;"",ROUND(E27*$I$2,0),"")</f>
        <v/>
      </c>
      <c r="G27" s="14"/>
      <c r="H27" s="15"/>
      <c r="I27" s="16"/>
      <c r="J27" s="14"/>
      <c r="K27" s="16"/>
      <c r="L27" s="15"/>
      <c r="M27" s="17"/>
      <c r="N27" s="18"/>
      <c r="O27" s="17"/>
    </row>
    <row r="28" customFormat="false" ht="18.75" hidden="false" customHeight="true" outlineLevel="0" collapsed="false">
      <c r="A28" s="9" t="s">
        <v>324</v>
      </c>
      <c r="B28" s="10" t="s">
        <v>25</v>
      </c>
      <c r="C28" s="11"/>
      <c r="D28" s="11"/>
      <c r="E28" s="12" t="str">
        <f aca="false">IF(AND(C28&lt;&gt;"",D28&lt;&gt;""),IF(D28&gt;=C28,ROUND((D28-C28)*24,2),ROUND((D28-C28+1)*24,2)),"")</f>
        <v/>
      </c>
      <c r="F28" s="13" t="str">
        <f aca="false">IF(E28&lt;&gt;"",ROUND(E28*$I$2,0),"")</f>
        <v/>
      </c>
      <c r="G28" s="14"/>
      <c r="H28" s="15"/>
      <c r="I28" s="16"/>
      <c r="J28" s="14"/>
      <c r="K28" s="16"/>
      <c r="L28" s="15"/>
      <c r="M28" s="17"/>
      <c r="N28" s="18"/>
      <c r="O28" s="17"/>
    </row>
    <row r="29" customFormat="false" ht="18.75" hidden="false" customHeight="true" outlineLevel="0" collapsed="false">
      <c r="A29" s="19" t="s">
        <v>325</v>
      </c>
      <c r="B29" s="20" t="s">
        <v>27</v>
      </c>
      <c r="C29" s="21"/>
      <c r="D29" s="21"/>
      <c r="E29" s="22" t="str">
        <f aca="false">IF(AND(C29&lt;&gt;"",D29&lt;&gt;""),IF(D29&gt;=C29,ROUND((D29-C29)*24,2),ROUND((D29-C29+1)*24,2)),"")</f>
        <v/>
      </c>
      <c r="F29" s="23" t="str">
        <f aca="false">IF(E29&lt;&gt;"",ROUND(E29*$I$2,0),"")</f>
        <v/>
      </c>
      <c r="G29" s="24"/>
      <c r="H29" s="25"/>
      <c r="I29" s="23"/>
      <c r="J29" s="24"/>
      <c r="K29" s="23"/>
      <c r="L29" s="25"/>
      <c r="M29" s="23"/>
      <c r="N29" s="24"/>
      <c r="O29" s="23"/>
    </row>
    <row r="30" customFormat="false" ht="18.75" hidden="false" customHeight="true" outlineLevel="0" collapsed="false">
      <c r="A30" s="26" t="s">
        <v>326</v>
      </c>
      <c r="B30" s="27" t="s">
        <v>29</v>
      </c>
      <c r="C30" s="28"/>
      <c r="D30" s="28"/>
      <c r="E30" s="29" t="str">
        <f aca="false">IF(AND(C30&lt;&gt;"",D30&lt;&gt;""),IF(D30&gt;=C30,ROUND((D30-C30)*24,2),ROUND((D30-C30+1)*24,2)),"")</f>
        <v/>
      </c>
      <c r="F30" s="30" t="str">
        <f aca="false">IF(E30&lt;&gt;"",ROUND(E30*$I$2,0),"")</f>
        <v/>
      </c>
      <c r="G30" s="31"/>
      <c r="H30" s="32"/>
      <c r="I30" s="30"/>
      <c r="J30" s="31"/>
      <c r="K30" s="30"/>
      <c r="L30" s="32"/>
      <c r="M30" s="30"/>
      <c r="N30" s="31"/>
      <c r="O30" s="30"/>
    </row>
    <row r="31" customFormat="false" ht="18.75" hidden="false" customHeight="true" outlineLevel="0" collapsed="false">
      <c r="A31" s="9" t="s">
        <v>327</v>
      </c>
      <c r="B31" s="10" t="s">
        <v>31</v>
      </c>
      <c r="C31" s="11"/>
      <c r="D31" s="11"/>
      <c r="E31" s="12" t="str">
        <f aca="false">IF(AND(C31&lt;&gt;"",D31&lt;&gt;""),IF(D31&gt;=C31,ROUND((D31-C31)*24,2),ROUND((D31-C31+1)*24,2)),"")</f>
        <v/>
      </c>
      <c r="F31" s="13" t="str">
        <f aca="false">IF(E31&lt;&gt;"",ROUND(E31*$I$2,0),"")</f>
        <v/>
      </c>
      <c r="G31" s="14"/>
      <c r="H31" s="15"/>
      <c r="I31" s="16"/>
      <c r="J31" s="14"/>
      <c r="K31" s="16"/>
      <c r="L31" s="15"/>
      <c r="M31" s="17"/>
      <c r="N31" s="18"/>
      <c r="O31" s="17"/>
    </row>
    <row r="32" customFormat="false" ht="18.75" hidden="false" customHeight="true" outlineLevel="0" collapsed="false">
      <c r="A32" s="9" t="s">
        <v>328</v>
      </c>
      <c r="B32" s="10" t="s">
        <v>33</v>
      </c>
      <c r="C32" s="11"/>
      <c r="D32" s="11"/>
      <c r="E32" s="12" t="str">
        <f aca="false">IF(AND(C32&lt;&gt;"",D32&lt;&gt;""),IF(D32&gt;=C32,ROUND((D32-C32)*24,2),ROUND((D32-C32+1)*24,2)),"")</f>
        <v/>
      </c>
      <c r="F32" s="13" t="str">
        <f aca="false">IF(E32&lt;&gt;"",ROUND(E32*$I$2,0),"")</f>
        <v/>
      </c>
      <c r="G32" s="14"/>
      <c r="H32" s="15"/>
      <c r="I32" s="16"/>
      <c r="J32" s="14"/>
      <c r="K32" s="16"/>
      <c r="L32" s="15"/>
      <c r="M32" s="17"/>
      <c r="N32" s="18"/>
      <c r="O32" s="17"/>
    </row>
    <row r="33" customFormat="false" ht="18.75" hidden="false" customHeight="true" outlineLevel="0" collapsed="false">
      <c r="A33" s="9" t="s">
        <v>329</v>
      </c>
      <c r="B33" s="10" t="s">
        <v>35</v>
      </c>
      <c r="C33" s="11"/>
      <c r="D33" s="11"/>
      <c r="E33" s="12" t="str">
        <f aca="false">IF(AND(C33&lt;&gt;"",D33&lt;&gt;""),IF(D33&gt;=C33,ROUND((D33-C33)*24,2),ROUND((D33-C33+1)*24,2)),"")</f>
        <v/>
      </c>
      <c r="F33" s="13" t="str">
        <f aca="false">IF(E33&lt;&gt;"",ROUND(E33*$I$2,0),"")</f>
        <v/>
      </c>
      <c r="G33" s="14"/>
      <c r="H33" s="15"/>
      <c r="I33" s="16"/>
      <c r="J33" s="14"/>
      <c r="K33" s="16"/>
      <c r="L33" s="15"/>
      <c r="M33" s="17"/>
      <c r="N33" s="18"/>
      <c r="O33" s="17"/>
    </row>
    <row r="34" customFormat="false" ht="3.75" hidden="false" customHeight="true" outlineLevel="0" collapsed="false"/>
    <row r="35" customFormat="false" ht="25.5" hidden="false" customHeight="true" outlineLevel="0" collapsed="false">
      <c r="A35" s="33" t="s">
        <v>60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</row>
    <row r="36" customFormat="false" ht="22.5" hidden="false" customHeight="true" outlineLevel="0" collapsed="false">
      <c r="A36" s="34" t="s">
        <v>61</v>
      </c>
      <c r="B36" s="34"/>
      <c r="C36" s="34"/>
      <c r="D36" s="34"/>
      <c r="E36" s="34"/>
      <c r="F36" s="35" t="n">
        <f aca="false">COUNT(E4:E33)</f>
        <v>0</v>
      </c>
      <c r="G36" s="35"/>
      <c r="H36" s="35"/>
      <c r="I36" s="35"/>
      <c r="J36" s="35"/>
      <c r="K36" s="35"/>
      <c r="L36" s="35"/>
      <c r="M36" s="35"/>
      <c r="N36" s="35"/>
      <c r="O36" s="35"/>
    </row>
    <row r="37" customFormat="false" ht="22.5" hidden="false" customHeight="true" outlineLevel="0" collapsed="false">
      <c r="A37" s="36" t="s">
        <v>62</v>
      </c>
      <c r="B37" s="36"/>
      <c r="C37" s="36"/>
      <c r="D37" s="36"/>
      <c r="E37" s="36"/>
      <c r="F37" s="37" t="n">
        <f aca="false">SUM(E4:E33)</f>
        <v>0</v>
      </c>
      <c r="G37" s="37"/>
      <c r="H37" s="37"/>
      <c r="I37" s="37"/>
      <c r="J37" s="37"/>
      <c r="K37" s="37"/>
      <c r="L37" s="37"/>
      <c r="M37" s="37"/>
      <c r="N37" s="37"/>
      <c r="O37" s="37"/>
    </row>
    <row r="38" customFormat="false" ht="22.5" hidden="false" customHeight="true" outlineLevel="0" collapsed="false">
      <c r="A38" s="38" t="s">
        <v>63</v>
      </c>
      <c r="B38" s="38"/>
      <c r="C38" s="38"/>
      <c r="D38" s="38"/>
      <c r="E38" s="38"/>
      <c r="F38" s="39" t="n">
        <f aca="false">SUM(F4:F33)</f>
        <v>0</v>
      </c>
      <c r="G38" s="39"/>
      <c r="H38" s="39"/>
      <c r="I38" s="39"/>
      <c r="J38" s="39"/>
      <c r="K38" s="39"/>
      <c r="L38" s="39"/>
      <c r="M38" s="39"/>
      <c r="N38" s="39"/>
      <c r="O38" s="39"/>
    </row>
    <row r="39" customFormat="false" ht="22.5" hidden="false" customHeight="true" outlineLevel="0" collapsed="false">
      <c r="A39" s="36" t="s">
        <v>64</v>
      </c>
      <c r="B39" s="36"/>
      <c r="C39" s="36"/>
      <c r="D39" s="36"/>
      <c r="E39" s="36"/>
      <c r="F39" s="40" t="n">
        <f aca="false">IF(F38=0,0,IFERROR(VLOOKUP(F38,税額表!$A$2:$B$74,2,TRUE()),0))</f>
        <v>0</v>
      </c>
      <c r="G39" s="40"/>
      <c r="H39" s="40"/>
      <c r="I39" s="40"/>
      <c r="J39" s="40"/>
      <c r="K39" s="40"/>
      <c r="L39" s="40"/>
      <c r="M39" s="40"/>
      <c r="N39" s="40"/>
      <c r="O39" s="40"/>
    </row>
    <row r="40" customFormat="false" ht="22.5" hidden="false" customHeight="true" outlineLevel="0" collapsed="false">
      <c r="A40" s="38" t="s">
        <v>65</v>
      </c>
      <c r="B40" s="38"/>
      <c r="C40" s="38"/>
      <c r="D40" s="38"/>
      <c r="E40" s="38"/>
      <c r="F40" s="39" t="n">
        <f aca="false">F38-F39</f>
        <v>0</v>
      </c>
      <c r="G40" s="39"/>
      <c r="H40" s="39"/>
      <c r="I40" s="39"/>
      <c r="J40" s="39"/>
      <c r="K40" s="39"/>
      <c r="L40" s="39"/>
      <c r="M40" s="39"/>
      <c r="N40" s="39"/>
      <c r="O40" s="39"/>
    </row>
    <row r="41" customFormat="false" ht="22.5" hidden="false" customHeight="true" outlineLevel="0" collapsed="false">
      <c r="A41" s="36" t="s">
        <v>66</v>
      </c>
      <c r="B41" s="36"/>
      <c r="C41" s="36"/>
      <c r="D41" s="36"/>
      <c r="E41" s="36"/>
      <c r="F41" s="40" t="n">
        <f aca="false">SUM(I4:I33)</f>
        <v>0</v>
      </c>
      <c r="G41" s="40"/>
      <c r="H41" s="40"/>
      <c r="I41" s="40"/>
      <c r="J41" s="40"/>
      <c r="K41" s="40"/>
      <c r="L41" s="40"/>
      <c r="M41" s="40"/>
      <c r="N41" s="40"/>
      <c r="O41" s="40"/>
    </row>
    <row r="42" customFormat="false" ht="22.5" hidden="false" customHeight="true" outlineLevel="0" collapsed="false">
      <c r="A42" s="36" t="s">
        <v>67</v>
      </c>
      <c r="B42" s="36"/>
      <c r="C42" s="36"/>
      <c r="D42" s="36"/>
      <c r="E42" s="36"/>
      <c r="F42" s="40" t="n">
        <f aca="false">SUMIF(L4:L33,"現金",K4:K33)+SUMIF(L4:L33,"個人カード",K4:K33)</f>
        <v>0</v>
      </c>
      <c r="G42" s="40"/>
      <c r="H42" s="40"/>
      <c r="I42" s="40"/>
      <c r="J42" s="40"/>
      <c r="K42" s="40"/>
      <c r="L42" s="40"/>
      <c r="M42" s="40"/>
      <c r="N42" s="40"/>
      <c r="O42" s="40"/>
    </row>
    <row r="43" customFormat="false" ht="22.5" hidden="false" customHeight="true" outlineLevel="0" collapsed="false">
      <c r="A43" s="41" t="s">
        <v>68</v>
      </c>
      <c r="B43" s="41"/>
      <c r="C43" s="41"/>
      <c r="D43" s="41"/>
      <c r="E43" s="41"/>
      <c r="F43" s="42" t="n">
        <f aca="false">SUM(M4:M33)</f>
        <v>0</v>
      </c>
      <c r="G43" s="42"/>
      <c r="H43" s="42"/>
      <c r="I43" s="42"/>
      <c r="J43" s="42"/>
      <c r="K43" s="42"/>
      <c r="L43" s="42"/>
      <c r="M43" s="42"/>
      <c r="N43" s="42"/>
      <c r="O43" s="42"/>
    </row>
    <row r="44" customFormat="false" ht="22.5" hidden="false" customHeight="true" outlineLevel="0" collapsed="false">
      <c r="A44" s="41" t="s">
        <v>69</v>
      </c>
      <c r="B44" s="41"/>
      <c r="C44" s="41"/>
      <c r="D44" s="41"/>
      <c r="E44" s="41"/>
      <c r="F44" s="42" t="n">
        <f aca="false">SUM(O4:O33)</f>
        <v>0</v>
      </c>
      <c r="G44" s="42"/>
      <c r="H44" s="42"/>
      <c r="I44" s="42"/>
      <c r="J44" s="42"/>
      <c r="K44" s="42"/>
      <c r="L44" s="42"/>
      <c r="M44" s="42"/>
      <c r="N44" s="42"/>
      <c r="O44" s="42"/>
    </row>
    <row r="45" customFormat="false" ht="22.5" hidden="false" customHeight="true" outlineLevel="0" collapsed="false">
      <c r="A45" s="43" t="s">
        <v>70</v>
      </c>
      <c r="B45" s="43"/>
      <c r="C45" s="43"/>
      <c r="D45" s="43"/>
      <c r="E45" s="43"/>
      <c r="F45" s="44" t="n">
        <f aca="false">'8月'!F43</f>
        <v>0</v>
      </c>
      <c r="G45" s="44"/>
      <c r="H45" s="44"/>
      <c r="I45" s="44"/>
      <c r="J45" s="44"/>
      <c r="K45" s="44"/>
      <c r="L45" s="44"/>
      <c r="M45" s="44"/>
      <c r="N45" s="44"/>
      <c r="O45" s="44"/>
    </row>
    <row r="46" customFormat="false" ht="22.5" hidden="false" customHeight="true" outlineLevel="0" collapsed="false">
      <c r="A46" s="45" t="s">
        <v>71</v>
      </c>
      <c r="B46" s="45"/>
      <c r="C46" s="45"/>
      <c r="D46" s="45"/>
      <c r="E46" s="45"/>
      <c r="F46" s="46" t="n">
        <f aca="false">F40+F41+F42+F43+F44+F45</f>
        <v>0</v>
      </c>
      <c r="G46" s="46"/>
      <c r="H46" s="46"/>
      <c r="I46" s="46"/>
      <c r="J46" s="46"/>
      <c r="K46" s="46"/>
      <c r="L46" s="46"/>
      <c r="M46" s="46"/>
      <c r="N46" s="46"/>
      <c r="O46" s="46"/>
    </row>
    <row r="48" customFormat="false" ht="13.5" hidden="false" customHeight="true" outlineLevel="0" collapsed="false">
      <c r="A48" s="47" t="s">
        <v>72</v>
      </c>
      <c r="B48" s="47"/>
      <c r="C48" s="48" t="s">
        <v>73</v>
      </c>
      <c r="D48" s="48"/>
      <c r="E48" s="49" t="s">
        <v>74</v>
      </c>
      <c r="F48" s="49"/>
      <c r="G48" s="50" t="s">
        <v>75</v>
      </c>
      <c r="H48" s="50"/>
      <c r="I48" s="51" t="s">
        <v>76</v>
      </c>
      <c r="J48" s="51"/>
      <c r="K48" s="52" t="s">
        <v>108</v>
      </c>
      <c r="L48" s="52"/>
    </row>
    <row r="49" customFormat="false" ht="30" hidden="false" customHeight="true" outlineLevel="0" collapsed="false">
      <c r="A49" s="53" t="s">
        <v>78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</row>
  </sheetData>
  <mergeCells count="36">
    <mergeCell ref="A1:O1"/>
    <mergeCell ref="A2:B2"/>
    <mergeCell ref="C2:F2"/>
    <mergeCell ref="G2:H2"/>
    <mergeCell ref="I2:K2"/>
    <mergeCell ref="L2:O2"/>
    <mergeCell ref="A35:O35"/>
    <mergeCell ref="A36:E36"/>
    <mergeCell ref="F36:O36"/>
    <mergeCell ref="A37:E37"/>
    <mergeCell ref="F37:O37"/>
    <mergeCell ref="A38:E38"/>
    <mergeCell ref="F38:O38"/>
    <mergeCell ref="A39:E39"/>
    <mergeCell ref="F39:O39"/>
    <mergeCell ref="A40:E40"/>
    <mergeCell ref="F40:O40"/>
    <mergeCell ref="A41:E41"/>
    <mergeCell ref="F41:O41"/>
    <mergeCell ref="A42:E42"/>
    <mergeCell ref="F42:O42"/>
    <mergeCell ref="A43:E43"/>
    <mergeCell ref="F43:O43"/>
    <mergeCell ref="A44:E44"/>
    <mergeCell ref="F44:O44"/>
    <mergeCell ref="A45:E45"/>
    <mergeCell ref="F45:O45"/>
    <mergeCell ref="A46:E46"/>
    <mergeCell ref="F46:O46"/>
    <mergeCell ref="A48:B48"/>
    <mergeCell ref="C48:D48"/>
    <mergeCell ref="E48:F48"/>
    <mergeCell ref="G48:H48"/>
    <mergeCell ref="I48:J48"/>
    <mergeCell ref="K48:L48"/>
    <mergeCell ref="A49:O49"/>
  </mergeCells>
  <dataValidations count="1">
    <dataValidation allowBlank="true" error="「現金」「個人カード」「法人カード」から選択してください。" errorStyle="stop" errorTitle="入力エラー" operator="between" showDropDown="false" showErrorMessage="true" showInputMessage="false" sqref="L4:L33" type="list">
      <formula1>"現金,個人カード,法人カード"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6.82"/>
    <col collapsed="false" customWidth="true" hidden="false" outlineLevel="0" max="2" min="2" style="0" width="3.81"/>
    <col collapsed="false" customWidth="true" hidden="false" outlineLevel="0" max="4" min="3" style="0" width="11.04"/>
    <col collapsed="false" customWidth="true" hidden="false" outlineLevel="0" max="5" min="5" style="0" width="8.99"/>
    <col collapsed="false" customWidth="true" hidden="false" outlineLevel="0" max="6" min="6" style="0" width="11.04"/>
    <col collapsed="false" customWidth="true" hidden="false" outlineLevel="0" max="7" min="7" style="0" width="14.04"/>
    <col collapsed="false" customWidth="true" hidden="false" outlineLevel="0" max="9" min="8" style="0" width="11.04"/>
    <col collapsed="false" customWidth="true" hidden="false" outlineLevel="0" max="10" min="10" style="0" width="17.99"/>
    <col collapsed="false" customWidth="true" hidden="false" outlineLevel="0" max="11" min="11" style="0" width="12.81"/>
    <col collapsed="false" customWidth="true" hidden="false" outlineLevel="0" max="12" min="12" style="0" width="11.99"/>
    <col collapsed="false" customWidth="true" hidden="false" outlineLevel="0" max="13" min="13" style="0" width="9.82"/>
    <col collapsed="false" customWidth="true" hidden="false" outlineLevel="0" max="14" min="14" style="0" width="15.81"/>
    <col collapsed="false" customWidth="true" hidden="false" outlineLevel="0" max="15" min="15" style="0" width="12.81"/>
  </cols>
  <sheetData>
    <row r="1" customFormat="false" ht="36" hidden="false" customHeight="true" outlineLevel="0" collapsed="false">
      <c r="A1" s="2" t="s">
        <v>330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4" hidden="false" customHeight="true" outlineLevel="0" collapsed="false">
      <c r="A2" s="3" t="s">
        <v>3</v>
      </c>
      <c r="B2" s="3"/>
      <c r="C2" s="4" t="s">
        <v>4</v>
      </c>
      <c r="D2" s="4"/>
      <c r="E2" s="4"/>
      <c r="F2" s="4"/>
      <c r="G2" s="3" t="s">
        <v>5</v>
      </c>
      <c r="H2" s="3"/>
      <c r="I2" s="5" t="n">
        <v>1300</v>
      </c>
      <c r="J2" s="5"/>
      <c r="K2" s="5"/>
      <c r="L2" s="6" t="s">
        <v>6</v>
      </c>
      <c r="M2" s="6"/>
      <c r="N2" s="6"/>
      <c r="O2" s="6"/>
    </row>
    <row r="3" customFormat="false" ht="42" hidden="false" customHeight="true" outlineLevel="0" collapsed="false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8" t="s">
        <v>19</v>
      </c>
      <c r="N3" s="8" t="s">
        <v>20</v>
      </c>
      <c r="O3" s="8" t="s">
        <v>21</v>
      </c>
    </row>
    <row r="4" customFormat="false" ht="18.75" hidden="false" customHeight="true" outlineLevel="0" collapsed="false">
      <c r="A4" s="9" t="s">
        <v>331</v>
      </c>
      <c r="B4" s="10" t="s">
        <v>23</v>
      </c>
      <c r="C4" s="11"/>
      <c r="D4" s="11"/>
      <c r="E4" s="12" t="str">
        <f aca="false">IF(AND(C4&lt;&gt;"",D4&lt;&gt;""),IF(D4&gt;=C4,ROUND((D4-C4)*24,2),ROUND((D4-C4+1)*24,2)),"")</f>
        <v/>
      </c>
      <c r="F4" s="13" t="str">
        <f aca="false">IF(E4&lt;&gt;"",ROUND(E4*$I$2,0),"")</f>
        <v/>
      </c>
      <c r="G4" s="14"/>
      <c r="H4" s="15"/>
      <c r="I4" s="16"/>
      <c r="J4" s="14"/>
      <c r="K4" s="16"/>
      <c r="L4" s="15"/>
      <c r="M4" s="17"/>
      <c r="N4" s="18"/>
      <c r="O4" s="17"/>
    </row>
    <row r="5" customFormat="false" ht="18.75" hidden="false" customHeight="true" outlineLevel="0" collapsed="false">
      <c r="A5" s="9" t="s">
        <v>332</v>
      </c>
      <c r="B5" s="10" t="s">
        <v>25</v>
      </c>
      <c r="C5" s="11"/>
      <c r="D5" s="11"/>
      <c r="E5" s="12" t="str">
        <f aca="false">IF(AND(C5&lt;&gt;"",D5&lt;&gt;""),IF(D5&gt;=C5,ROUND((D5-C5)*24,2),ROUND((D5-C5+1)*24,2)),"")</f>
        <v/>
      </c>
      <c r="F5" s="13" t="str">
        <f aca="false">IF(E5&lt;&gt;"",ROUND(E5*$I$2,0),"")</f>
        <v/>
      </c>
      <c r="G5" s="14"/>
      <c r="H5" s="15"/>
      <c r="I5" s="16"/>
      <c r="J5" s="14"/>
      <c r="K5" s="16"/>
      <c r="L5" s="15"/>
      <c r="M5" s="17"/>
      <c r="N5" s="18"/>
      <c r="O5" s="17"/>
    </row>
    <row r="6" customFormat="false" ht="18.75" hidden="false" customHeight="true" outlineLevel="0" collapsed="false">
      <c r="A6" s="19" t="s">
        <v>333</v>
      </c>
      <c r="B6" s="20" t="s">
        <v>27</v>
      </c>
      <c r="C6" s="21"/>
      <c r="D6" s="21"/>
      <c r="E6" s="22" t="str">
        <f aca="false">IF(AND(C6&lt;&gt;"",D6&lt;&gt;""),IF(D6&gt;=C6,ROUND((D6-C6)*24,2),ROUND((D6-C6+1)*24,2)),"")</f>
        <v/>
      </c>
      <c r="F6" s="23" t="str">
        <f aca="false">IF(E6&lt;&gt;"",ROUND(E6*$I$2,0),"")</f>
        <v/>
      </c>
      <c r="G6" s="24"/>
      <c r="H6" s="25"/>
      <c r="I6" s="23"/>
      <c r="J6" s="24"/>
      <c r="K6" s="23"/>
      <c r="L6" s="25"/>
      <c r="M6" s="23"/>
      <c r="N6" s="24"/>
      <c r="O6" s="23"/>
    </row>
    <row r="7" customFormat="false" ht="18.75" hidden="false" customHeight="true" outlineLevel="0" collapsed="false">
      <c r="A7" s="26" t="s">
        <v>334</v>
      </c>
      <c r="B7" s="27" t="s">
        <v>29</v>
      </c>
      <c r="C7" s="28"/>
      <c r="D7" s="28"/>
      <c r="E7" s="29" t="str">
        <f aca="false">IF(AND(C7&lt;&gt;"",D7&lt;&gt;""),IF(D7&gt;=C7,ROUND((D7-C7)*24,2),ROUND((D7-C7+1)*24,2)),"")</f>
        <v/>
      </c>
      <c r="F7" s="30" t="str">
        <f aca="false">IF(E7&lt;&gt;"",ROUND(E7*$I$2,0),"")</f>
        <v/>
      </c>
      <c r="G7" s="31"/>
      <c r="H7" s="32"/>
      <c r="I7" s="30"/>
      <c r="J7" s="31"/>
      <c r="K7" s="30"/>
      <c r="L7" s="32"/>
      <c r="M7" s="30"/>
      <c r="N7" s="31"/>
      <c r="O7" s="30"/>
    </row>
    <row r="8" customFormat="false" ht="18.75" hidden="false" customHeight="true" outlineLevel="0" collapsed="false">
      <c r="A8" s="9" t="s">
        <v>335</v>
      </c>
      <c r="B8" s="10" t="s">
        <v>31</v>
      </c>
      <c r="C8" s="11"/>
      <c r="D8" s="11"/>
      <c r="E8" s="12" t="str">
        <f aca="false">IF(AND(C8&lt;&gt;"",D8&lt;&gt;""),IF(D8&gt;=C8,ROUND((D8-C8)*24,2),ROUND((D8-C8+1)*24,2)),"")</f>
        <v/>
      </c>
      <c r="F8" s="13" t="str">
        <f aca="false">IF(E8&lt;&gt;"",ROUND(E8*$I$2,0),"")</f>
        <v/>
      </c>
      <c r="G8" s="14"/>
      <c r="H8" s="15"/>
      <c r="I8" s="16"/>
      <c r="J8" s="14"/>
      <c r="K8" s="16"/>
      <c r="L8" s="15"/>
      <c r="M8" s="17"/>
      <c r="N8" s="18"/>
      <c r="O8" s="17"/>
    </row>
    <row r="9" customFormat="false" ht="18.75" hidden="false" customHeight="true" outlineLevel="0" collapsed="false">
      <c r="A9" s="9" t="s">
        <v>336</v>
      </c>
      <c r="B9" s="10" t="s">
        <v>33</v>
      </c>
      <c r="C9" s="11"/>
      <c r="D9" s="11"/>
      <c r="E9" s="12" t="str">
        <f aca="false">IF(AND(C9&lt;&gt;"",D9&lt;&gt;""),IF(D9&gt;=C9,ROUND((D9-C9)*24,2),ROUND((D9-C9+1)*24,2)),"")</f>
        <v/>
      </c>
      <c r="F9" s="13" t="str">
        <f aca="false">IF(E9&lt;&gt;"",ROUND(E9*$I$2,0),"")</f>
        <v/>
      </c>
      <c r="G9" s="14"/>
      <c r="H9" s="15"/>
      <c r="I9" s="16"/>
      <c r="J9" s="14"/>
      <c r="K9" s="16"/>
      <c r="L9" s="15"/>
      <c r="M9" s="17"/>
      <c r="N9" s="18"/>
      <c r="O9" s="17"/>
    </row>
    <row r="10" customFormat="false" ht="18.75" hidden="false" customHeight="true" outlineLevel="0" collapsed="false">
      <c r="A10" s="9" t="s">
        <v>337</v>
      </c>
      <c r="B10" s="10" t="s">
        <v>35</v>
      </c>
      <c r="C10" s="11"/>
      <c r="D10" s="11"/>
      <c r="E10" s="12" t="str">
        <f aca="false">IF(AND(C10&lt;&gt;"",D10&lt;&gt;""),IF(D10&gt;=C10,ROUND((D10-C10)*24,2),ROUND((D10-C10+1)*24,2)),"")</f>
        <v/>
      </c>
      <c r="F10" s="13" t="str">
        <f aca="false">IF(E10&lt;&gt;"",ROUND(E10*$I$2,0),"")</f>
        <v/>
      </c>
      <c r="G10" s="14"/>
      <c r="H10" s="15"/>
      <c r="I10" s="16"/>
      <c r="J10" s="14"/>
      <c r="K10" s="16"/>
      <c r="L10" s="15"/>
      <c r="M10" s="17"/>
      <c r="N10" s="18"/>
      <c r="O10" s="17"/>
    </row>
    <row r="11" customFormat="false" ht="18.75" hidden="false" customHeight="true" outlineLevel="0" collapsed="false">
      <c r="A11" s="9" t="s">
        <v>338</v>
      </c>
      <c r="B11" s="10" t="s">
        <v>23</v>
      </c>
      <c r="C11" s="11"/>
      <c r="D11" s="11"/>
      <c r="E11" s="12" t="str">
        <f aca="false">IF(AND(C11&lt;&gt;"",D11&lt;&gt;""),IF(D11&gt;=C11,ROUND((D11-C11)*24,2),ROUND((D11-C11+1)*24,2)),"")</f>
        <v/>
      </c>
      <c r="F11" s="13" t="str">
        <f aca="false">IF(E11&lt;&gt;"",ROUND(E11*$I$2,0),"")</f>
        <v/>
      </c>
      <c r="G11" s="14"/>
      <c r="H11" s="15"/>
      <c r="I11" s="16"/>
      <c r="J11" s="14"/>
      <c r="K11" s="16"/>
      <c r="L11" s="15"/>
      <c r="M11" s="17"/>
      <c r="N11" s="18"/>
      <c r="O11" s="17"/>
    </row>
    <row r="12" customFormat="false" ht="18.75" hidden="false" customHeight="true" outlineLevel="0" collapsed="false">
      <c r="A12" s="9" t="s">
        <v>339</v>
      </c>
      <c r="B12" s="10" t="s">
        <v>25</v>
      </c>
      <c r="C12" s="11"/>
      <c r="D12" s="11"/>
      <c r="E12" s="12" t="str">
        <f aca="false">IF(AND(C12&lt;&gt;"",D12&lt;&gt;""),IF(D12&gt;=C12,ROUND((D12-C12)*24,2),ROUND((D12-C12+1)*24,2)),"")</f>
        <v/>
      </c>
      <c r="F12" s="13" t="str">
        <f aca="false">IF(E12&lt;&gt;"",ROUND(E12*$I$2,0),"")</f>
        <v/>
      </c>
      <c r="G12" s="14"/>
      <c r="H12" s="15"/>
      <c r="I12" s="16"/>
      <c r="J12" s="14"/>
      <c r="K12" s="16"/>
      <c r="L12" s="15"/>
      <c r="M12" s="17"/>
      <c r="N12" s="18"/>
      <c r="O12" s="17"/>
    </row>
    <row r="13" customFormat="false" ht="18.75" hidden="false" customHeight="true" outlineLevel="0" collapsed="false">
      <c r="A13" s="19" t="s">
        <v>340</v>
      </c>
      <c r="B13" s="20" t="s">
        <v>27</v>
      </c>
      <c r="C13" s="21"/>
      <c r="D13" s="21"/>
      <c r="E13" s="22" t="str">
        <f aca="false">IF(AND(C13&lt;&gt;"",D13&lt;&gt;""),IF(D13&gt;=C13,ROUND((D13-C13)*24,2),ROUND((D13-C13+1)*24,2)),"")</f>
        <v/>
      </c>
      <c r="F13" s="23" t="str">
        <f aca="false">IF(E13&lt;&gt;"",ROUND(E13*$I$2,0),"")</f>
        <v/>
      </c>
      <c r="G13" s="24"/>
      <c r="H13" s="25"/>
      <c r="I13" s="23"/>
      <c r="J13" s="24"/>
      <c r="K13" s="23"/>
      <c r="L13" s="25"/>
      <c r="M13" s="23"/>
      <c r="N13" s="24"/>
      <c r="O13" s="23"/>
    </row>
    <row r="14" customFormat="false" ht="18.75" hidden="false" customHeight="true" outlineLevel="0" collapsed="false">
      <c r="A14" s="26" t="s">
        <v>341</v>
      </c>
      <c r="B14" s="27" t="s">
        <v>29</v>
      </c>
      <c r="C14" s="28"/>
      <c r="D14" s="28"/>
      <c r="E14" s="29" t="str">
        <f aca="false">IF(AND(C14&lt;&gt;"",D14&lt;&gt;""),IF(D14&gt;=C14,ROUND((D14-C14)*24,2),ROUND((D14-C14+1)*24,2)),"")</f>
        <v/>
      </c>
      <c r="F14" s="30" t="str">
        <f aca="false">IF(E14&lt;&gt;"",ROUND(E14*$I$2,0),"")</f>
        <v/>
      </c>
      <c r="G14" s="31"/>
      <c r="H14" s="32"/>
      <c r="I14" s="30"/>
      <c r="J14" s="31"/>
      <c r="K14" s="30"/>
      <c r="L14" s="32"/>
      <c r="M14" s="30"/>
      <c r="N14" s="31"/>
      <c r="O14" s="30"/>
    </row>
    <row r="15" customFormat="false" ht="18.75" hidden="false" customHeight="true" outlineLevel="0" collapsed="false">
      <c r="A15" s="9" t="s">
        <v>342</v>
      </c>
      <c r="B15" s="10" t="s">
        <v>31</v>
      </c>
      <c r="C15" s="11"/>
      <c r="D15" s="11"/>
      <c r="E15" s="12" t="str">
        <f aca="false">IF(AND(C15&lt;&gt;"",D15&lt;&gt;""),IF(D15&gt;=C15,ROUND((D15-C15)*24,2),ROUND((D15-C15+1)*24,2)),"")</f>
        <v/>
      </c>
      <c r="F15" s="13" t="str">
        <f aca="false">IF(E15&lt;&gt;"",ROUND(E15*$I$2,0),"")</f>
        <v/>
      </c>
      <c r="G15" s="14"/>
      <c r="H15" s="15"/>
      <c r="I15" s="16"/>
      <c r="J15" s="14"/>
      <c r="K15" s="16"/>
      <c r="L15" s="15"/>
      <c r="M15" s="17"/>
      <c r="N15" s="18"/>
      <c r="O15" s="17"/>
    </row>
    <row r="16" customFormat="false" ht="18.75" hidden="false" customHeight="true" outlineLevel="0" collapsed="false">
      <c r="A16" s="9" t="s">
        <v>343</v>
      </c>
      <c r="B16" s="10" t="s">
        <v>33</v>
      </c>
      <c r="C16" s="11"/>
      <c r="D16" s="11"/>
      <c r="E16" s="12" t="str">
        <f aca="false">IF(AND(C16&lt;&gt;"",D16&lt;&gt;""),IF(D16&gt;=C16,ROUND((D16-C16)*24,2),ROUND((D16-C16+1)*24,2)),"")</f>
        <v/>
      </c>
      <c r="F16" s="13" t="str">
        <f aca="false">IF(E16&lt;&gt;"",ROUND(E16*$I$2,0),"")</f>
        <v/>
      </c>
      <c r="G16" s="14"/>
      <c r="H16" s="15"/>
      <c r="I16" s="16"/>
      <c r="J16" s="14"/>
      <c r="K16" s="16"/>
      <c r="L16" s="15"/>
      <c r="M16" s="17"/>
      <c r="N16" s="18"/>
      <c r="O16" s="17"/>
    </row>
    <row r="17" customFormat="false" ht="18.75" hidden="false" customHeight="true" outlineLevel="0" collapsed="false">
      <c r="A17" s="9" t="s">
        <v>344</v>
      </c>
      <c r="B17" s="10" t="s">
        <v>35</v>
      </c>
      <c r="C17" s="11"/>
      <c r="D17" s="11"/>
      <c r="E17" s="12" t="str">
        <f aca="false">IF(AND(C17&lt;&gt;"",D17&lt;&gt;""),IF(D17&gt;=C17,ROUND((D17-C17)*24,2),ROUND((D17-C17+1)*24,2)),"")</f>
        <v/>
      </c>
      <c r="F17" s="13" t="str">
        <f aca="false">IF(E17&lt;&gt;"",ROUND(E17*$I$2,0),"")</f>
        <v/>
      </c>
      <c r="G17" s="14"/>
      <c r="H17" s="15"/>
      <c r="I17" s="16"/>
      <c r="J17" s="14"/>
      <c r="K17" s="16"/>
      <c r="L17" s="15"/>
      <c r="M17" s="17"/>
      <c r="N17" s="18"/>
      <c r="O17" s="17"/>
    </row>
    <row r="18" customFormat="false" ht="18.75" hidden="false" customHeight="true" outlineLevel="0" collapsed="false">
      <c r="A18" s="9" t="s">
        <v>345</v>
      </c>
      <c r="B18" s="10" t="s">
        <v>23</v>
      </c>
      <c r="C18" s="11"/>
      <c r="D18" s="11"/>
      <c r="E18" s="12" t="str">
        <f aca="false">IF(AND(C18&lt;&gt;"",D18&lt;&gt;""),IF(D18&gt;=C18,ROUND((D18-C18)*24,2),ROUND((D18-C18+1)*24,2)),"")</f>
        <v/>
      </c>
      <c r="F18" s="13" t="str">
        <f aca="false">IF(E18&lt;&gt;"",ROUND(E18*$I$2,0),"")</f>
        <v/>
      </c>
      <c r="G18" s="14"/>
      <c r="H18" s="15"/>
      <c r="I18" s="16"/>
      <c r="J18" s="14"/>
      <c r="K18" s="16"/>
      <c r="L18" s="15"/>
      <c r="M18" s="17"/>
      <c r="N18" s="18"/>
      <c r="O18" s="17"/>
    </row>
    <row r="19" customFormat="false" ht="18.75" hidden="false" customHeight="true" outlineLevel="0" collapsed="false">
      <c r="A19" s="9" t="s">
        <v>346</v>
      </c>
      <c r="B19" s="10" t="s">
        <v>25</v>
      </c>
      <c r="C19" s="11"/>
      <c r="D19" s="11"/>
      <c r="E19" s="12" t="str">
        <f aca="false">IF(AND(C19&lt;&gt;"",D19&lt;&gt;""),IF(D19&gt;=C19,ROUND((D19-C19)*24,2),ROUND((D19-C19+1)*24,2)),"")</f>
        <v/>
      </c>
      <c r="F19" s="13" t="str">
        <f aca="false">IF(E19&lt;&gt;"",ROUND(E19*$I$2,0),"")</f>
        <v/>
      </c>
      <c r="G19" s="14"/>
      <c r="H19" s="15"/>
      <c r="I19" s="16"/>
      <c r="J19" s="14"/>
      <c r="K19" s="16"/>
      <c r="L19" s="15"/>
      <c r="M19" s="17"/>
      <c r="N19" s="18"/>
      <c r="O19" s="17"/>
    </row>
    <row r="20" customFormat="false" ht="18.75" hidden="false" customHeight="true" outlineLevel="0" collapsed="false">
      <c r="A20" s="19" t="s">
        <v>347</v>
      </c>
      <c r="B20" s="20" t="s">
        <v>27</v>
      </c>
      <c r="C20" s="21"/>
      <c r="D20" s="21"/>
      <c r="E20" s="22" t="str">
        <f aca="false">IF(AND(C20&lt;&gt;"",D20&lt;&gt;""),IF(D20&gt;=C20,ROUND((D20-C20)*24,2),ROUND((D20-C20+1)*24,2)),"")</f>
        <v/>
      </c>
      <c r="F20" s="23" t="str">
        <f aca="false">IF(E20&lt;&gt;"",ROUND(E20*$I$2,0),"")</f>
        <v/>
      </c>
      <c r="G20" s="24"/>
      <c r="H20" s="25"/>
      <c r="I20" s="23"/>
      <c r="J20" s="24"/>
      <c r="K20" s="23"/>
      <c r="L20" s="25"/>
      <c r="M20" s="23"/>
      <c r="N20" s="24"/>
      <c r="O20" s="23"/>
    </row>
    <row r="21" customFormat="false" ht="18.75" hidden="false" customHeight="true" outlineLevel="0" collapsed="false">
      <c r="A21" s="26" t="s">
        <v>348</v>
      </c>
      <c r="B21" s="27" t="s">
        <v>29</v>
      </c>
      <c r="C21" s="28"/>
      <c r="D21" s="28"/>
      <c r="E21" s="29" t="str">
        <f aca="false">IF(AND(C21&lt;&gt;"",D21&lt;&gt;""),IF(D21&gt;=C21,ROUND((D21-C21)*24,2),ROUND((D21-C21+1)*24,2)),"")</f>
        <v/>
      </c>
      <c r="F21" s="30" t="str">
        <f aca="false">IF(E21&lt;&gt;"",ROUND(E21*$I$2,0),"")</f>
        <v/>
      </c>
      <c r="G21" s="31"/>
      <c r="H21" s="32"/>
      <c r="I21" s="30"/>
      <c r="J21" s="31"/>
      <c r="K21" s="30"/>
      <c r="L21" s="32"/>
      <c r="M21" s="30"/>
      <c r="N21" s="31"/>
      <c r="O21" s="30"/>
    </row>
    <row r="22" customFormat="false" ht="18.75" hidden="false" customHeight="true" outlineLevel="0" collapsed="false">
      <c r="A22" s="9" t="s">
        <v>349</v>
      </c>
      <c r="B22" s="10" t="s">
        <v>31</v>
      </c>
      <c r="C22" s="11"/>
      <c r="D22" s="11"/>
      <c r="E22" s="12" t="str">
        <f aca="false">IF(AND(C22&lt;&gt;"",D22&lt;&gt;""),IF(D22&gt;=C22,ROUND((D22-C22)*24,2),ROUND((D22-C22+1)*24,2)),"")</f>
        <v/>
      </c>
      <c r="F22" s="13" t="str">
        <f aca="false">IF(E22&lt;&gt;"",ROUND(E22*$I$2,0),"")</f>
        <v/>
      </c>
      <c r="G22" s="14"/>
      <c r="H22" s="15"/>
      <c r="I22" s="16"/>
      <c r="J22" s="14"/>
      <c r="K22" s="16"/>
      <c r="L22" s="15"/>
      <c r="M22" s="17"/>
      <c r="N22" s="18"/>
      <c r="O22" s="17"/>
    </row>
    <row r="23" customFormat="false" ht="18.75" hidden="false" customHeight="true" outlineLevel="0" collapsed="false">
      <c r="A23" s="9" t="s">
        <v>350</v>
      </c>
      <c r="B23" s="10" t="s">
        <v>33</v>
      </c>
      <c r="C23" s="11"/>
      <c r="D23" s="11"/>
      <c r="E23" s="12" t="str">
        <f aca="false">IF(AND(C23&lt;&gt;"",D23&lt;&gt;""),IF(D23&gt;=C23,ROUND((D23-C23)*24,2),ROUND((D23-C23+1)*24,2)),"")</f>
        <v/>
      </c>
      <c r="F23" s="13" t="str">
        <f aca="false">IF(E23&lt;&gt;"",ROUND(E23*$I$2,0),"")</f>
        <v/>
      </c>
      <c r="G23" s="14"/>
      <c r="H23" s="15"/>
      <c r="I23" s="16"/>
      <c r="J23" s="14"/>
      <c r="K23" s="16"/>
      <c r="L23" s="15"/>
      <c r="M23" s="17"/>
      <c r="N23" s="18"/>
      <c r="O23" s="17"/>
    </row>
    <row r="24" customFormat="false" ht="18.75" hidden="false" customHeight="true" outlineLevel="0" collapsed="false">
      <c r="A24" s="9" t="s">
        <v>351</v>
      </c>
      <c r="B24" s="10" t="s">
        <v>35</v>
      </c>
      <c r="C24" s="11"/>
      <c r="D24" s="11"/>
      <c r="E24" s="12" t="str">
        <f aca="false">IF(AND(C24&lt;&gt;"",D24&lt;&gt;""),IF(D24&gt;=C24,ROUND((D24-C24)*24,2),ROUND((D24-C24+1)*24,2)),"")</f>
        <v/>
      </c>
      <c r="F24" s="13" t="str">
        <f aca="false">IF(E24&lt;&gt;"",ROUND(E24*$I$2,0),"")</f>
        <v/>
      </c>
      <c r="G24" s="14"/>
      <c r="H24" s="15"/>
      <c r="I24" s="16"/>
      <c r="J24" s="14"/>
      <c r="K24" s="16"/>
      <c r="L24" s="15"/>
      <c r="M24" s="17"/>
      <c r="N24" s="18"/>
      <c r="O24" s="17"/>
    </row>
    <row r="25" customFormat="false" ht="18.75" hidden="false" customHeight="true" outlineLevel="0" collapsed="false">
      <c r="A25" s="9" t="s">
        <v>352</v>
      </c>
      <c r="B25" s="10" t="s">
        <v>23</v>
      </c>
      <c r="C25" s="11"/>
      <c r="D25" s="11"/>
      <c r="E25" s="12" t="str">
        <f aca="false">IF(AND(C25&lt;&gt;"",D25&lt;&gt;""),IF(D25&gt;=C25,ROUND((D25-C25)*24,2),ROUND((D25-C25+1)*24,2)),"")</f>
        <v/>
      </c>
      <c r="F25" s="13" t="str">
        <f aca="false">IF(E25&lt;&gt;"",ROUND(E25*$I$2,0),"")</f>
        <v/>
      </c>
      <c r="G25" s="14"/>
      <c r="H25" s="15"/>
      <c r="I25" s="16"/>
      <c r="J25" s="14"/>
      <c r="K25" s="16"/>
      <c r="L25" s="15"/>
      <c r="M25" s="17"/>
      <c r="N25" s="18"/>
      <c r="O25" s="17"/>
    </row>
    <row r="26" customFormat="false" ht="18.75" hidden="false" customHeight="true" outlineLevel="0" collapsed="false">
      <c r="A26" s="9" t="s">
        <v>353</v>
      </c>
      <c r="B26" s="10" t="s">
        <v>25</v>
      </c>
      <c r="C26" s="11"/>
      <c r="D26" s="11"/>
      <c r="E26" s="12" t="str">
        <f aca="false">IF(AND(C26&lt;&gt;"",D26&lt;&gt;""),IF(D26&gt;=C26,ROUND((D26-C26)*24,2),ROUND((D26-C26+1)*24,2)),"")</f>
        <v/>
      </c>
      <c r="F26" s="13" t="str">
        <f aca="false">IF(E26&lt;&gt;"",ROUND(E26*$I$2,0),"")</f>
        <v/>
      </c>
      <c r="G26" s="14"/>
      <c r="H26" s="15"/>
      <c r="I26" s="16"/>
      <c r="J26" s="14"/>
      <c r="K26" s="16"/>
      <c r="L26" s="15"/>
      <c r="M26" s="17"/>
      <c r="N26" s="18"/>
      <c r="O26" s="17"/>
    </row>
    <row r="27" customFormat="false" ht="18.75" hidden="false" customHeight="true" outlineLevel="0" collapsed="false">
      <c r="A27" s="19" t="s">
        <v>354</v>
      </c>
      <c r="B27" s="20" t="s">
        <v>27</v>
      </c>
      <c r="C27" s="21"/>
      <c r="D27" s="21"/>
      <c r="E27" s="22" t="str">
        <f aca="false">IF(AND(C27&lt;&gt;"",D27&lt;&gt;""),IF(D27&gt;=C27,ROUND((D27-C27)*24,2),ROUND((D27-C27+1)*24,2)),"")</f>
        <v/>
      </c>
      <c r="F27" s="23" t="str">
        <f aca="false">IF(E27&lt;&gt;"",ROUND(E27*$I$2,0),"")</f>
        <v/>
      </c>
      <c r="G27" s="24"/>
      <c r="H27" s="25"/>
      <c r="I27" s="23"/>
      <c r="J27" s="24"/>
      <c r="K27" s="23"/>
      <c r="L27" s="25"/>
      <c r="M27" s="23"/>
      <c r="N27" s="24"/>
      <c r="O27" s="23"/>
    </row>
    <row r="28" customFormat="false" ht="18.75" hidden="false" customHeight="true" outlineLevel="0" collapsed="false">
      <c r="A28" s="26" t="s">
        <v>355</v>
      </c>
      <c r="B28" s="27" t="s">
        <v>29</v>
      </c>
      <c r="C28" s="28"/>
      <c r="D28" s="28"/>
      <c r="E28" s="29" t="str">
        <f aca="false">IF(AND(C28&lt;&gt;"",D28&lt;&gt;""),IF(D28&gt;=C28,ROUND((D28-C28)*24,2),ROUND((D28-C28+1)*24,2)),"")</f>
        <v/>
      </c>
      <c r="F28" s="30" t="str">
        <f aca="false">IF(E28&lt;&gt;"",ROUND(E28*$I$2,0),"")</f>
        <v/>
      </c>
      <c r="G28" s="31"/>
      <c r="H28" s="32"/>
      <c r="I28" s="30"/>
      <c r="J28" s="31"/>
      <c r="K28" s="30"/>
      <c r="L28" s="32"/>
      <c r="M28" s="30"/>
      <c r="N28" s="31"/>
      <c r="O28" s="30"/>
    </row>
    <row r="29" customFormat="false" ht="18.75" hidden="false" customHeight="true" outlineLevel="0" collapsed="false">
      <c r="A29" s="9" t="s">
        <v>356</v>
      </c>
      <c r="B29" s="10" t="s">
        <v>31</v>
      </c>
      <c r="C29" s="11"/>
      <c r="D29" s="11"/>
      <c r="E29" s="12" t="str">
        <f aca="false">IF(AND(C29&lt;&gt;"",D29&lt;&gt;""),IF(D29&gt;=C29,ROUND((D29-C29)*24,2),ROUND((D29-C29+1)*24,2)),"")</f>
        <v/>
      </c>
      <c r="F29" s="13" t="str">
        <f aca="false">IF(E29&lt;&gt;"",ROUND(E29*$I$2,0),"")</f>
        <v/>
      </c>
      <c r="G29" s="14"/>
      <c r="H29" s="15"/>
      <c r="I29" s="16"/>
      <c r="J29" s="14"/>
      <c r="K29" s="16"/>
      <c r="L29" s="15"/>
      <c r="M29" s="17"/>
      <c r="N29" s="18"/>
      <c r="O29" s="17"/>
    </row>
    <row r="30" customFormat="false" ht="18.75" hidden="false" customHeight="true" outlineLevel="0" collapsed="false">
      <c r="A30" s="9" t="s">
        <v>357</v>
      </c>
      <c r="B30" s="10" t="s">
        <v>33</v>
      </c>
      <c r="C30" s="11"/>
      <c r="D30" s="11"/>
      <c r="E30" s="12" t="str">
        <f aca="false">IF(AND(C30&lt;&gt;"",D30&lt;&gt;""),IF(D30&gt;=C30,ROUND((D30-C30)*24,2),ROUND((D30-C30+1)*24,2)),"")</f>
        <v/>
      </c>
      <c r="F30" s="13" t="str">
        <f aca="false">IF(E30&lt;&gt;"",ROUND(E30*$I$2,0),"")</f>
        <v/>
      </c>
      <c r="G30" s="14"/>
      <c r="H30" s="15"/>
      <c r="I30" s="16"/>
      <c r="J30" s="14"/>
      <c r="K30" s="16"/>
      <c r="L30" s="15"/>
      <c r="M30" s="17"/>
      <c r="N30" s="18"/>
      <c r="O30" s="17"/>
    </row>
    <row r="31" customFormat="false" ht="18.75" hidden="false" customHeight="true" outlineLevel="0" collapsed="false">
      <c r="A31" s="9" t="s">
        <v>358</v>
      </c>
      <c r="B31" s="10" t="s">
        <v>35</v>
      </c>
      <c r="C31" s="11"/>
      <c r="D31" s="11"/>
      <c r="E31" s="12" t="str">
        <f aca="false">IF(AND(C31&lt;&gt;"",D31&lt;&gt;""),IF(D31&gt;=C31,ROUND((D31-C31)*24,2),ROUND((D31-C31+1)*24,2)),"")</f>
        <v/>
      </c>
      <c r="F31" s="13" t="str">
        <f aca="false">IF(E31&lt;&gt;"",ROUND(E31*$I$2,0),"")</f>
        <v/>
      </c>
      <c r="G31" s="14"/>
      <c r="H31" s="15"/>
      <c r="I31" s="16"/>
      <c r="J31" s="14"/>
      <c r="K31" s="16"/>
      <c r="L31" s="15"/>
      <c r="M31" s="17"/>
      <c r="N31" s="18"/>
      <c r="O31" s="17"/>
    </row>
    <row r="32" customFormat="false" ht="18.75" hidden="false" customHeight="true" outlineLevel="0" collapsed="false">
      <c r="A32" s="9" t="s">
        <v>359</v>
      </c>
      <c r="B32" s="10" t="s">
        <v>23</v>
      </c>
      <c r="C32" s="11"/>
      <c r="D32" s="11"/>
      <c r="E32" s="12" t="str">
        <f aca="false">IF(AND(C32&lt;&gt;"",D32&lt;&gt;""),IF(D32&gt;=C32,ROUND((D32-C32)*24,2),ROUND((D32-C32+1)*24,2)),"")</f>
        <v/>
      </c>
      <c r="F32" s="13" t="str">
        <f aca="false">IF(E32&lt;&gt;"",ROUND(E32*$I$2,0),"")</f>
        <v/>
      </c>
      <c r="G32" s="14"/>
      <c r="H32" s="15"/>
      <c r="I32" s="16"/>
      <c r="J32" s="14"/>
      <c r="K32" s="16"/>
      <c r="L32" s="15"/>
      <c r="M32" s="17"/>
      <c r="N32" s="18"/>
      <c r="O32" s="17"/>
    </row>
    <row r="33" customFormat="false" ht="18.75" hidden="false" customHeight="true" outlineLevel="0" collapsed="false">
      <c r="A33" s="9" t="s">
        <v>360</v>
      </c>
      <c r="B33" s="10" t="s">
        <v>25</v>
      </c>
      <c r="C33" s="11"/>
      <c r="D33" s="11"/>
      <c r="E33" s="12" t="str">
        <f aca="false">IF(AND(C33&lt;&gt;"",D33&lt;&gt;""),IF(D33&gt;=C33,ROUND((D33-C33)*24,2),ROUND((D33-C33+1)*24,2)),"")</f>
        <v/>
      </c>
      <c r="F33" s="13" t="str">
        <f aca="false">IF(E33&lt;&gt;"",ROUND(E33*$I$2,0),"")</f>
        <v/>
      </c>
      <c r="G33" s="14"/>
      <c r="H33" s="15"/>
      <c r="I33" s="16"/>
      <c r="J33" s="14"/>
      <c r="K33" s="16"/>
      <c r="L33" s="15"/>
      <c r="M33" s="17"/>
      <c r="N33" s="18"/>
      <c r="O33" s="17"/>
    </row>
    <row r="34" customFormat="false" ht="18.75" hidden="false" customHeight="true" outlineLevel="0" collapsed="false">
      <c r="A34" s="19" t="s">
        <v>361</v>
      </c>
      <c r="B34" s="20" t="s">
        <v>27</v>
      </c>
      <c r="C34" s="21"/>
      <c r="D34" s="21"/>
      <c r="E34" s="22" t="str">
        <f aca="false">IF(AND(C34&lt;&gt;"",D34&lt;&gt;""),IF(D34&gt;=C34,ROUND((D34-C34)*24,2),ROUND((D34-C34+1)*24,2)),"")</f>
        <v/>
      </c>
      <c r="F34" s="23" t="str">
        <f aca="false">IF(E34&lt;&gt;"",ROUND(E34*$I$2,0),"")</f>
        <v/>
      </c>
      <c r="G34" s="24"/>
      <c r="H34" s="25"/>
      <c r="I34" s="23"/>
      <c r="J34" s="24"/>
      <c r="K34" s="23"/>
      <c r="L34" s="25"/>
      <c r="M34" s="23"/>
      <c r="N34" s="24"/>
      <c r="O34" s="23"/>
    </row>
    <row r="35" customFormat="false" ht="3.75" hidden="false" customHeight="true" outlineLevel="0" collapsed="false"/>
    <row r="36" customFormat="false" ht="25.5" hidden="false" customHeight="true" outlineLevel="0" collapsed="false">
      <c r="A36" s="33" t="s">
        <v>60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 customFormat="false" ht="22.5" hidden="false" customHeight="true" outlineLevel="0" collapsed="false">
      <c r="A37" s="34" t="s">
        <v>61</v>
      </c>
      <c r="B37" s="34"/>
      <c r="C37" s="34"/>
      <c r="D37" s="34"/>
      <c r="E37" s="34"/>
      <c r="F37" s="35" t="n">
        <f aca="false">COUNT(E4:E34)</f>
        <v>0</v>
      </c>
      <c r="G37" s="35"/>
      <c r="H37" s="35"/>
      <c r="I37" s="35"/>
      <c r="J37" s="35"/>
      <c r="K37" s="35"/>
      <c r="L37" s="35"/>
      <c r="M37" s="35"/>
      <c r="N37" s="35"/>
      <c r="O37" s="35"/>
    </row>
    <row r="38" customFormat="false" ht="22.5" hidden="false" customHeight="true" outlineLevel="0" collapsed="false">
      <c r="A38" s="36" t="s">
        <v>62</v>
      </c>
      <c r="B38" s="36"/>
      <c r="C38" s="36"/>
      <c r="D38" s="36"/>
      <c r="E38" s="36"/>
      <c r="F38" s="37" t="n">
        <f aca="false">SUM(E4:E34)</f>
        <v>0</v>
      </c>
      <c r="G38" s="37"/>
      <c r="H38" s="37"/>
      <c r="I38" s="37"/>
      <c r="J38" s="37"/>
      <c r="K38" s="37"/>
      <c r="L38" s="37"/>
      <c r="M38" s="37"/>
      <c r="N38" s="37"/>
      <c r="O38" s="37"/>
    </row>
    <row r="39" customFormat="false" ht="22.5" hidden="false" customHeight="true" outlineLevel="0" collapsed="false">
      <c r="A39" s="38" t="s">
        <v>63</v>
      </c>
      <c r="B39" s="38"/>
      <c r="C39" s="38"/>
      <c r="D39" s="38"/>
      <c r="E39" s="38"/>
      <c r="F39" s="39" t="n">
        <f aca="false">SUM(F4:F34)</f>
        <v>0</v>
      </c>
      <c r="G39" s="39"/>
      <c r="H39" s="39"/>
      <c r="I39" s="39"/>
      <c r="J39" s="39"/>
      <c r="K39" s="39"/>
      <c r="L39" s="39"/>
      <c r="M39" s="39"/>
      <c r="N39" s="39"/>
      <c r="O39" s="39"/>
    </row>
    <row r="40" customFormat="false" ht="22.5" hidden="false" customHeight="true" outlineLevel="0" collapsed="false">
      <c r="A40" s="36" t="s">
        <v>64</v>
      </c>
      <c r="B40" s="36"/>
      <c r="C40" s="36"/>
      <c r="D40" s="36"/>
      <c r="E40" s="36"/>
      <c r="F40" s="40" t="n">
        <f aca="false">IF(F39=0,0,IFERROR(VLOOKUP(F39,税額表!$A$2:$B$74,2,TRUE()),0))</f>
        <v>0</v>
      </c>
      <c r="G40" s="40"/>
      <c r="H40" s="40"/>
      <c r="I40" s="40"/>
      <c r="J40" s="40"/>
      <c r="K40" s="40"/>
      <c r="L40" s="40"/>
      <c r="M40" s="40"/>
      <c r="N40" s="40"/>
      <c r="O40" s="40"/>
    </row>
    <row r="41" customFormat="false" ht="22.5" hidden="false" customHeight="true" outlineLevel="0" collapsed="false">
      <c r="A41" s="38" t="s">
        <v>65</v>
      </c>
      <c r="B41" s="38"/>
      <c r="C41" s="38"/>
      <c r="D41" s="38"/>
      <c r="E41" s="38"/>
      <c r="F41" s="39" t="n">
        <f aca="false">F39-F40</f>
        <v>0</v>
      </c>
      <c r="G41" s="39"/>
      <c r="H41" s="39"/>
      <c r="I41" s="39"/>
      <c r="J41" s="39"/>
      <c r="K41" s="39"/>
      <c r="L41" s="39"/>
      <c r="M41" s="39"/>
      <c r="N41" s="39"/>
      <c r="O41" s="39"/>
    </row>
    <row r="42" customFormat="false" ht="22.5" hidden="false" customHeight="true" outlineLevel="0" collapsed="false">
      <c r="A42" s="36" t="s">
        <v>66</v>
      </c>
      <c r="B42" s="36"/>
      <c r="C42" s="36"/>
      <c r="D42" s="36"/>
      <c r="E42" s="36"/>
      <c r="F42" s="40" t="n">
        <f aca="false">SUM(I4:I34)</f>
        <v>0</v>
      </c>
      <c r="G42" s="40"/>
      <c r="H42" s="40"/>
      <c r="I42" s="40"/>
      <c r="J42" s="40"/>
      <c r="K42" s="40"/>
      <c r="L42" s="40"/>
      <c r="M42" s="40"/>
      <c r="N42" s="40"/>
      <c r="O42" s="40"/>
    </row>
    <row r="43" customFormat="false" ht="22.5" hidden="false" customHeight="true" outlineLevel="0" collapsed="false">
      <c r="A43" s="36" t="s">
        <v>67</v>
      </c>
      <c r="B43" s="36"/>
      <c r="C43" s="36"/>
      <c r="D43" s="36"/>
      <c r="E43" s="36"/>
      <c r="F43" s="40" t="n">
        <f aca="false">SUMIF(L4:L34,"現金",K4:K34)+SUMIF(L4:L34,"個人カード",K4:K34)</f>
        <v>0</v>
      </c>
      <c r="G43" s="40"/>
      <c r="H43" s="40"/>
      <c r="I43" s="40"/>
      <c r="J43" s="40"/>
      <c r="K43" s="40"/>
      <c r="L43" s="40"/>
      <c r="M43" s="40"/>
      <c r="N43" s="40"/>
      <c r="O43" s="40"/>
    </row>
    <row r="44" customFormat="false" ht="22.5" hidden="false" customHeight="true" outlineLevel="0" collapsed="false">
      <c r="A44" s="41" t="s">
        <v>68</v>
      </c>
      <c r="B44" s="41"/>
      <c r="C44" s="41"/>
      <c r="D44" s="41"/>
      <c r="E44" s="41"/>
      <c r="F44" s="42" t="n">
        <f aca="false">SUM(M4:M34)</f>
        <v>0</v>
      </c>
      <c r="G44" s="42"/>
      <c r="H44" s="42"/>
      <c r="I44" s="42"/>
      <c r="J44" s="42"/>
      <c r="K44" s="42"/>
      <c r="L44" s="42"/>
      <c r="M44" s="42"/>
      <c r="N44" s="42"/>
      <c r="O44" s="42"/>
    </row>
    <row r="45" customFormat="false" ht="22.5" hidden="false" customHeight="true" outlineLevel="0" collapsed="false">
      <c r="A45" s="41" t="s">
        <v>69</v>
      </c>
      <c r="B45" s="41"/>
      <c r="C45" s="41"/>
      <c r="D45" s="41"/>
      <c r="E45" s="41"/>
      <c r="F45" s="42" t="n">
        <f aca="false">SUM(O4:O34)</f>
        <v>0</v>
      </c>
      <c r="G45" s="42"/>
      <c r="H45" s="42"/>
      <c r="I45" s="42"/>
      <c r="J45" s="42"/>
      <c r="K45" s="42"/>
      <c r="L45" s="42"/>
      <c r="M45" s="42"/>
      <c r="N45" s="42"/>
      <c r="O45" s="42"/>
    </row>
    <row r="46" customFormat="false" ht="22.5" hidden="false" customHeight="true" outlineLevel="0" collapsed="false">
      <c r="A46" s="43" t="s">
        <v>70</v>
      </c>
      <c r="B46" s="43"/>
      <c r="C46" s="43"/>
      <c r="D46" s="43"/>
      <c r="E46" s="43"/>
      <c r="F46" s="44" t="n">
        <f aca="false">'9月'!F42</f>
        <v>0</v>
      </c>
      <c r="G46" s="44"/>
      <c r="H46" s="44"/>
      <c r="I46" s="44"/>
      <c r="J46" s="44"/>
      <c r="K46" s="44"/>
      <c r="L46" s="44"/>
      <c r="M46" s="44"/>
      <c r="N46" s="44"/>
      <c r="O46" s="44"/>
    </row>
    <row r="47" customFormat="false" ht="22.5" hidden="false" customHeight="true" outlineLevel="0" collapsed="false">
      <c r="A47" s="45" t="s">
        <v>71</v>
      </c>
      <c r="B47" s="45"/>
      <c r="C47" s="45"/>
      <c r="D47" s="45"/>
      <c r="E47" s="45"/>
      <c r="F47" s="46" t="n">
        <f aca="false">F41+F42+F43+F44+F45+F46</f>
        <v>0</v>
      </c>
      <c r="G47" s="46"/>
      <c r="H47" s="46"/>
      <c r="I47" s="46"/>
      <c r="J47" s="46"/>
      <c r="K47" s="46"/>
      <c r="L47" s="46"/>
      <c r="M47" s="46"/>
      <c r="N47" s="46"/>
      <c r="O47" s="46"/>
    </row>
    <row r="49" customFormat="false" ht="13.5" hidden="false" customHeight="true" outlineLevel="0" collapsed="false">
      <c r="A49" s="47" t="s">
        <v>72</v>
      </c>
      <c r="B49" s="47"/>
      <c r="C49" s="48" t="s">
        <v>73</v>
      </c>
      <c r="D49" s="48"/>
      <c r="E49" s="49" t="s">
        <v>74</v>
      </c>
      <c r="F49" s="49"/>
      <c r="G49" s="50" t="s">
        <v>75</v>
      </c>
      <c r="H49" s="50"/>
      <c r="I49" s="51" t="s">
        <v>76</v>
      </c>
      <c r="J49" s="51"/>
      <c r="K49" s="52" t="s">
        <v>108</v>
      </c>
      <c r="L49" s="52"/>
    </row>
    <row r="50" customFormat="false" ht="30" hidden="false" customHeight="true" outlineLevel="0" collapsed="false">
      <c r="A50" s="53" t="s">
        <v>78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</row>
  </sheetData>
  <mergeCells count="36">
    <mergeCell ref="A1:O1"/>
    <mergeCell ref="A2:B2"/>
    <mergeCell ref="C2:F2"/>
    <mergeCell ref="G2:H2"/>
    <mergeCell ref="I2:K2"/>
    <mergeCell ref="L2:O2"/>
    <mergeCell ref="A36:O36"/>
    <mergeCell ref="A37:E37"/>
    <mergeCell ref="F37:O37"/>
    <mergeCell ref="A38:E38"/>
    <mergeCell ref="F38:O38"/>
    <mergeCell ref="A39:E39"/>
    <mergeCell ref="F39:O39"/>
    <mergeCell ref="A40:E40"/>
    <mergeCell ref="F40:O40"/>
    <mergeCell ref="A41:E41"/>
    <mergeCell ref="F41:O41"/>
    <mergeCell ref="A42:E42"/>
    <mergeCell ref="F42:O42"/>
    <mergeCell ref="A43:E43"/>
    <mergeCell ref="F43:O43"/>
    <mergeCell ref="A44:E44"/>
    <mergeCell ref="F44:O44"/>
    <mergeCell ref="A45:E45"/>
    <mergeCell ref="F45:O45"/>
    <mergeCell ref="A46:E46"/>
    <mergeCell ref="F46:O46"/>
    <mergeCell ref="A47:E47"/>
    <mergeCell ref="F47:O47"/>
    <mergeCell ref="A49:B49"/>
    <mergeCell ref="C49:D49"/>
    <mergeCell ref="E49:F49"/>
    <mergeCell ref="G49:H49"/>
    <mergeCell ref="I49:J49"/>
    <mergeCell ref="K49:L49"/>
    <mergeCell ref="A50:O50"/>
  </mergeCells>
  <dataValidations count="1">
    <dataValidation allowBlank="true" error="「現金」「個人カード」「法人カード」から選択してください。" errorStyle="stop" errorTitle="入力エラー" operator="between" showDropDown="false" showErrorMessage="true" showInputMessage="false" sqref="L4:L34" type="list">
      <formula1>"現金,個人カード,法人カード"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6.82"/>
    <col collapsed="false" customWidth="true" hidden="false" outlineLevel="0" max="2" min="2" style="0" width="3.81"/>
    <col collapsed="false" customWidth="true" hidden="false" outlineLevel="0" max="4" min="3" style="0" width="11.04"/>
    <col collapsed="false" customWidth="true" hidden="false" outlineLevel="0" max="5" min="5" style="0" width="8.99"/>
    <col collapsed="false" customWidth="true" hidden="false" outlineLevel="0" max="6" min="6" style="0" width="11.04"/>
    <col collapsed="false" customWidth="true" hidden="false" outlineLevel="0" max="7" min="7" style="0" width="14.04"/>
    <col collapsed="false" customWidth="true" hidden="false" outlineLevel="0" max="9" min="8" style="0" width="11.04"/>
    <col collapsed="false" customWidth="true" hidden="false" outlineLevel="0" max="10" min="10" style="0" width="17.99"/>
    <col collapsed="false" customWidth="true" hidden="false" outlineLevel="0" max="11" min="11" style="0" width="12.81"/>
    <col collapsed="false" customWidth="true" hidden="false" outlineLevel="0" max="12" min="12" style="0" width="11.99"/>
    <col collapsed="false" customWidth="true" hidden="false" outlineLevel="0" max="13" min="13" style="0" width="9.82"/>
    <col collapsed="false" customWidth="true" hidden="false" outlineLevel="0" max="14" min="14" style="0" width="15.81"/>
    <col collapsed="false" customWidth="true" hidden="false" outlineLevel="0" max="15" min="15" style="0" width="12.81"/>
  </cols>
  <sheetData>
    <row r="1" customFormat="false" ht="36" hidden="false" customHeight="true" outlineLevel="0" collapsed="false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4" hidden="false" customHeight="true" outlineLevel="0" collapsed="false">
      <c r="A2" s="3" t="s">
        <v>3</v>
      </c>
      <c r="B2" s="3"/>
      <c r="C2" s="4" t="s">
        <v>4</v>
      </c>
      <c r="D2" s="4"/>
      <c r="E2" s="4"/>
      <c r="F2" s="4"/>
      <c r="G2" s="3" t="s">
        <v>5</v>
      </c>
      <c r="H2" s="3"/>
      <c r="I2" s="5" t="n">
        <v>1300</v>
      </c>
      <c r="J2" s="5"/>
      <c r="K2" s="5"/>
      <c r="L2" s="6" t="s">
        <v>6</v>
      </c>
      <c r="M2" s="6"/>
      <c r="N2" s="6"/>
      <c r="O2" s="6"/>
    </row>
    <row r="3" customFormat="false" ht="42" hidden="false" customHeight="true" outlineLevel="0" collapsed="false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8" t="s">
        <v>19</v>
      </c>
      <c r="N3" s="8" t="s">
        <v>20</v>
      </c>
      <c r="O3" s="8" t="s">
        <v>21</v>
      </c>
    </row>
    <row r="4" customFormat="false" ht="18.75" hidden="false" customHeight="true" outlineLevel="0" collapsed="false">
      <c r="A4" s="26" t="s">
        <v>363</v>
      </c>
      <c r="B4" s="27" t="s">
        <v>29</v>
      </c>
      <c r="C4" s="28"/>
      <c r="D4" s="28"/>
      <c r="E4" s="29" t="str">
        <f aca="false">IF(AND(C4&lt;&gt;"",D4&lt;&gt;""),IF(D4&gt;=C4,ROUND((D4-C4)*24,2),ROUND((D4-C4+1)*24,2)),"")</f>
        <v/>
      </c>
      <c r="F4" s="30" t="str">
        <f aca="false">IF(E4&lt;&gt;"",ROUND(E4*$I$2,0),"")</f>
        <v/>
      </c>
      <c r="G4" s="31"/>
      <c r="H4" s="32"/>
      <c r="I4" s="30"/>
      <c r="J4" s="31"/>
      <c r="K4" s="30"/>
      <c r="L4" s="32"/>
      <c r="M4" s="30"/>
      <c r="N4" s="31"/>
      <c r="O4" s="30"/>
    </row>
    <row r="5" customFormat="false" ht="18.75" hidden="false" customHeight="true" outlineLevel="0" collapsed="false">
      <c r="A5" s="9" t="s">
        <v>364</v>
      </c>
      <c r="B5" s="10" t="s">
        <v>31</v>
      </c>
      <c r="C5" s="11"/>
      <c r="D5" s="11"/>
      <c r="E5" s="12" t="str">
        <f aca="false">IF(AND(C5&lt;&gt;"",D5&lt;&gt;""),IF(D5&gt;=C5,ROUND((D5-C5)*24,2),ROUND((D5-C5+1)*24,2)),"")</f>
        <v/>
      </c>
      <c r="F5" s="13" t="str">
        <f aca="false">IF(E5&lt;&gt;"",ROUND(E5*$I$2,0),"")</f>
        <v/>
      </c>
      <c r="G5" s="14"/>
      <c r="H5" s="15"/>
      <c r="I5" s="16"/>
      <c r="J5" s="14"/>
      <c r="K5" s="16"/>
      <c r="L5" s="15"/>
      <c r="M5" s="17"/>
      <c r="N5" s="18"/>
      <c r="O5" s="17"/>
    </row>
    <row r="6" customFormat="false" ht="18.75" hidden="false" customHeight="true" outlineLevel="0" collapsed="false">
      <c r="A6" s="9" t="s">
        <v>365</v>
      </c>
      <c r="B6" s="10" t="s">
        <v>33</v>
      </c>
      <c r="C6" s="11"/>
      <c r="D6" s="11"/>
      <c r="E6" s="12" t="str">
        <f aca="false">IF(AND(C6&lt;&gt;"",D6&lt;&gt;""),IF(D6&gt;=C6,ROUND((D6-C6)*24,2),ROUND((D6-C6+1)*24,2)),"")</f>
        <v/>
      </c>
      <c r="F6" s="13" t="str">
        <f aca="false">IF(E6&lt;&gt;"",ROUND(E6*$I$2,0),"")</f>
        <v/>
      </c>
      <c r="G6" s="14"/>
      <c r="H6" s="15"/>
      <c r="I6" s="16"/>
      <c r="J6" s="14"/>
      <c r="K6" s="16"/>
      <c r="L6" s="15"/>
      <c r="M6" s="17"/>
      <c r="N6" s="18"/>
      <c r="O6" s="17"/>
    </row>
    <row r="7" customFormat="false" ht="18.75" hidden="false" customHeight="true" outlineLevel="0" collapsed="false">
      <c r="A7" s="9" t="s">
        <v>366</v>
      </c>
      <c r="B7" s="10" t="s">
        <v>35</v>
      </c>
      <c r="C7" s="11"/>
      <c r="D7" s="11"/>
      <c r="E7" s="12" t="str">
        <f aca="false">IF(AND(C7&lt;&gt;"",D7&lt;&gt;""),IF(D7&gt;=C7,ROUND((D7-C7)*24,2),ROUND((D7-C7+1)*24,2)),"")</f>
        <v/>
      </c>
      <c r="F7" s="13" t="str">
        <f aca="false">IF(E7&lt;&gt;"",ROUND(E7*$I$2,0),"")</f>
        <v/>
      </c>
      <c r="G7" s="14"/>
      <c r="H7" s="15"/>
      <c r="I7" s="16"/>
      <c r="J7" s="14"/>
      <c r="K7" s="16"/>
      <c r="L7" s="15"/>
      <c r="M7" s="17"/>
      <c r="N7" s="18"/>
      <c r="O7" s="17"/>
    </row>
    <row r="8" customFormat="false" ht="18.75" hidden="false" customHeight="true" outlineLevel="0" collapsed="false">
      <c r="A8" s="9" t="s">
        <v>367</v>
      </c>
      <c r="B8" s="10" t="s">
        <v>23</v>
      </c>
      <c r="C8" s="11"/>
      <c r="D8" s="11"/>
      <c r="E8" s="12" t="str">
        <f aca="false">IF(AND(C8&lt;&gt;"",D8&lt;&gt;""),IF(D8&gt;=C8,ROUND((D8-C8)*24,2),ROUND((D8-C8+1)*24,2)),"")</f>
        <v/>
      </c>
      <c r="F8" s="13" t="str">
        <f aca="false">IF(E8&lt;&gt;"",ROUND(E8*$I$2,0),"")</f>
        <v/>
      </c>
      <c r="G8" s="14"/>
      <c r="H8" s="15"/>
      <c r="I8" s="16"/>
      <c r="J8" s="14"/>
      <c r="K8" s="16"/>
      <c r="L8" s="15"/>
      <c r="M8" s="17"/>
      <c r="N8" s="18"/>
      <c r="O8" s="17"/>
    </row>
    <row r="9" customFormat="false" ht="18.75" hidden="false" customHeight="true" outlineLevel="0" collapsed="false">
      <c r="A9" s="9" t="s">
        <v>368</v>
      </c>
      <c r="B9" s="10" t="s">
        <v>25</v>
      </c>
      <c r="C9" s="11"/>
      <c r="D9" s="11"/>
      <c r="E9" s="12" t="str">
        <f aca="false">IF(AND(C9&lt;&gt;"",D9&lt;&gt;""),IF(D9&gt;=C9,ROUND((D9-C9)*24,2),ROUND((D9-C9+1)*24,2)),"")</f>
        <v/>
      </c>
      <c r="F9" s="13" t="str">
        <f aca="false">IF(E9&lt;&gt;"",ROUND(E9*$I$2,0),"")</f>
        <v/>
      </c>
      <c r="G9" s="14"/>
      <c r="H9" s="15"/>
      <c r="I9" s="16"/>
      <c r="J9" s="14"/>
      <c r="K9" s="16"/>
      <c r="L9" s="15"/>
      <c r="M9" s="17"/>
      <c r="N9" s="18"/>
      <c r="O9" s="17"/>
    </row>
    <row r="10" customFormat="false" ht="18.75" hidden="false" customHeight="true" outlineLevel="0" collapsed="false">
      <c r="A10" s="19" t="s">
        <v>369</v>
      </c>
      <c r="B10" s="20" t="s">
        <v>27</v>
      </c>
      <c r="C10" s="21"/>
      <c r="D10" s="21"/>
      <c r="E10" s="22" t="str">
        <f aca="false">IF(AND(C10&lt;&gt;"",D10&lt;&gt;""),IF(D10&gt;=C10,ROUND((D10-C10)*24,2),ROUND((D10-C10+1)*24,2)),"")</f>
        <v/>
      </c>
      <c r="F10" s="23" t="str">
        <f aca="false">IF(E10&lt;&gt;"",ROUND(E10*$I$2,0),"")</f>
        <v/>
      </c>
      <c r="G10" s="24"/>
      <c r="H10" s="25"/>
      <c r="I10" s="23"/>
      <c r="J10" s="24"/>
      <c r="K10" s="23"/>
      <c r="L10" s="25"/>
      <c r="M10" s="23"/>
      <c r="N10" s="24"/>
      <c r="O10" s="23"/>
    </row>
    <row r="11" customFormat="false" ht="18.75" hidden="false" customHeight="true" outlineLevel="0" collapsed="false">
      <c r="A11" s="26" t="s">
        <v>370</v>
      </c>
      <c r="B11" s="27" t="s">
        <v>29</v>
      </c>
      <c r="C11" s="28"/>
      <c r="D11" s="28"/>
      <c r="E11" s="29" t="str">
        <f aca="false">IF(AND(C11&lt;&gt;"",D11&lt;&gt;""),IF(D11&gt;=C11,ROUND((D11-C11)*24,2),ROUND((D11-C11+1)*24,2)),"")</f>
        <v/>
      </c>
      <c r="F11" s="30" t="str">
        <f aca="false">IF(E11&lt;&gt;"",ROUND(E11*$I$2,0),"")</f>
        <v/>
      </c>
      <c r="G11" s="31"/>
      <c r="H11" s="32"/>
      <c r="I11" s="30"/>
      <c r="J11" s="31"/>
      <c r="K11" s="30"/>
      <c r="L11" s="32"/>
      <c r="M11" s="30"/>
      <c r="N11" s="31"/>
      <c r="O11" s="30"/>
    </row>
    <row r="12" customFormat="false" ht="18.75" hidden="false" customHeight="true" outlineLevel="0" collapsed="false">
      <c r="A12" s="9" t="s">
        <v>371</v>
      </c>
      <c r="B12" s="10" t="s">
        <v>31</v>
      </c>
      <c r="C12" s="11"/>
      <c r="D12" s="11"/>
      <c r="E12" s="12" t="str">
        <f aca="false">IF(AND(C12&lt;&gt;"",D12&lt;&gt;""),IF(D12&gt;=C12,ROUND((D12-C12)*24,2),ROUND((D12-C12+1)*24,2)),"")</f>
        <v/>
      </c>
      <c r="F12" s="13" t="str">
        <f aca="false">IF(E12&lt;&gt;"",ROUND(E12*$I$2,0),"")</f>
        <v/>
      </c>
      <c r="G12" s="14"/>
      <c r="H12" s="15"/>
      <c r="I12" s="16"/>
      <c r="J12" s="14"/>
      <c r="K12" s="16"/>
      <c r="L12" s="15"/>
      <c r="M12" s="17"/>
      <c r="N12" s="18"/>
      <c r="O12" s="17"/>
    </row>
    <row r="13" customFormat="false" ht="18.75" hidden="false" customHeight="true" outlineLevel="0" collapsed="false">
      <c r="A13" s="9" t="s">
        <v>372</v>
      </c>
      <c r="B13" s="10" t="s">
        <v>33</v>
      </c>
      <c r="C13" s="11"/>
      <c r="D13" s="11"/>
      <c r="E13" s="12" t="str">
        <f aca="false">IF(AND(C13&lt;&gt;"",D13&lt;&gt;""),IF(D13&gt;=C13,ROUND((D13-C13)*24,2),ROUND((D13-C13+1)*24,2)),"")</f>
        <v/>
      </c>
      <c r="F13" s="13" t="str">
        <f aca="false">IF(E13&lt;&gt;"",ROUND(E13*$I$2,0),"")</f>
        <v/>
      </c>
      <c r="G13" s="14"/>
      <c r="H13" s="15"/>
      <c r="I13" s="16"/>
      <c r="J13" s="14"/>
      <c r="K13" s="16"/>
      <c r="L13" s="15"/>
      <c r="M13" s="17"/>
      <c r="N13" s="18"/>
      <c r="O13" s="17"/>
    </row>
    <row r="14" customFormat="false" ht="18.75" hidden="false" customHeight="true" outlineLevel="0" collapsed="false">
      <c r="A14" s="9" t="s">
        <v>373</v>
      </c>
      <c r="B14" s="10" t="s">
        <v>35</v>
      </c>
      <c r="C14" s="11"/>
      <c r="D14" s="11"/>
      <c r="E14" s="12" t="str">
        <f aca="false">IF(AND(C14&lt;&gt;"",D14&lt;&gt;""),IF(D14&gt;=C14,ROUND((D14-C14)*24,2),ROUND((D14-C14+1)*24,2)),"")</f>
        <v/>
      </c>
      <c r="F14" s="13" t="str">
        <f aca="false">IF(E14&lt;&gt;"",ROUND(E14*$I$2,0),"")</f>
        <v/>
      </c>
      <c r="G14" s="14"/>
      <c r="H14" s="15"/>
      <c r="I14" s="16"/>
      <c r="J14" s="14"/>
      <c r="K14" s="16"/>
      <c r="L14" s="15"/>
      <c r="M14" s="17"/>
      <c r="N14" s="18"/>
      <c r="O14" s="17"/>
    </row>
    <row r="15" customFormat="false" ht="18.75" hidden="false" customHeight="true" outlineLevel="0" collapsed="false">
      <c r="A15" s="9" t="s">
        <v>374</v>
      </c>
      <c r="B15" s="10" t="s">
        <v>23</v>
      </c>
      <c r="C15" s="11"/>
      <c r="D15" s="11"/>
      <c r="E15" s="12" t="str">
        <f aca="false">IF(AND(C15&lt;&gt;"",D15&lt;&gt;""),IF(D15&gt;=C15,ROUND((D15-C15)*24,2),ROUND((D15-C15+1)*24,2)),"")</f>
        <v/>
      </c>
      <c r="F15" s="13" t="str">
        <f aca="false">IF(E15&lt;&gt;"",ROUND(E15*$I$2,0),"")</f>
        <v/>
      </c>
      <c r="G15" s="14"/>
      <c r="H15" s="15"/>
      <c r="I15" s="16"/>
      <c r="J15" s="14"/>
      <c r="K15" s="16"/>
      <c r="L15" s="15"/>
      <c r="M15" s="17"/>
      <c r="N15" s="18"/>
      <c r="O15" s="17"/>
    </row>
    <row r="16" customFormat="false" ht="18.75" hidden="false" customHeight="true" outlineLevel="0" collapsed="false">
      <c r="A16" s="9" t="s">
        <v>375</v>
      </c>
      <c r="B16" s="10" t="s">
        <v>25</v>
      </c>
      <c r="C16" s="11"/>
      <c r="D16" s="11"/>
      <c r="E16" s="12" t="str">
        <f aca="false">IF(AND(C16&lt;&gt;"",D16&lt;&gt;""),IF(D16&gt;=C16,ROUND((D16-C16)*24,2),ROUND((D16-C16+1)*24,2)),"")</f>
        <v/>
      </c>
      <c r="F16" s="13" t="str">
        <f aca="false">IF(E16&lt;&gt;"",ROUND(E16*$I$2,0),"")</f>
        <v/>
      </c>
      <c r="G16" s="14"/>
      <c r="H16" s="15"/>
      <c r="I16" s="16"/>
      <c r="J16" s="14"/>
      <c r="K16" s="16"/>
      <c r="L16" s="15"/>
      <c r="M16" s="17"/>
      <c r="N16" s="18"/>
      <c r="O16" s="17"/>
    </row>
    <row r="17" customFormat="false" ht="18.75" hidden="false" customHeight="true" outlineLevel="0" collapsed="false">
      <c r="A17" s="19" t="s">
        <v>376</v>
      </c>
      <c r="B17" s="20" t="s">
        <v>27</v>
      </c>
      <c r="C17" s="21"/>
      <c r="D17" s="21"/>
      <c r="E17" s="22" t="str">
        <f aca="false">IF(AND(C17&lt;&gt;"",D17&lt;&gt;""),IF(D17&gt;=C17,ROUND((D17-C17)*24,2),ROUND((D17-C17+1)*24,2)),"")</f>
        <v/>
      </c>
      <c r="F17" s="23" t="str">
        <f aca="false">IF(E17&lt;&gt;"",ROUND(E17*$I$2,0),"")</f>
        <v/>
      </c>
      <c r="G17" s="24"/>
      <c r="H17" s="25"/>
      <c r="I17" s="23"/>
      <c r="J17" s="24"/>
      <c r="K17" s="23"/>
      <c r="L17" s="25"/>
      <c r="M17" s="23"/>
      <c r="N17" s="24"/>
      <c r="O17" s="23"/>
    </row>
    <row r="18" customFormat="false" ht="18.75" hidden="false" customHeight="true" outlineLevel="0" collapsed="false">
      <c r="A18" s="26" t="s">
        <v>377</v>
      </c>
      <c r="B18" s="27" t="s">
        <v>29</v>
      </c>
      <c r="C18" s="28"/>
      <c r="D18" s="28"/>
      <c r="E18" s="29" t="str">
        <f aca="false">IF(AND(C18&lt;&gt;"",D18&lt;&gt;""),IF(D18&gt;=C18,ROUND((D18-C18)*24,2),ROUND((D18-C18+1)*24,2)),"")</f>
        <v/>
      </c>
      <c r="F18" s="30" t="str">
        <f aca="false">IF(E18&lt;&gt;"",ROUND(E18*$I$2,0),"")</f>
        <v/>
      </c>
      <c r="G18" s="31"/>
      <c r="H18" s="32"/>
      <c r="I18" s="30"/>
      <c r="J18" s="31"/>
      <c r="K18" s="30"/>
      <c r="L18" s="32"/>
      <c r="M18" s="30"/>
      <c r="N18" s="31"/>
      <c r="O18" s="30"/>
    </row>
    <row r="19" customFormat="false" ht="18.75" hidden="false" customHeight="true" outlineLevel="0" collapsed="false">
      <c r="A19" s="9" t="s">
        <v>378</v>
      </c>
      <c r="B19" s="10" t="s">
        <v>31</v>
      </c>
      <c r="C19" s="11"/>
      <c r="D19" s="11"/>
      <c r="E19" s="12" t="str">
        <f aca="false">IF(AND(C19&lt;&gt;"",D19&lt;&gt;""),IF(D19&gt;=C19,ROUND((D19-C19)*24,2),ROUND((D19-C19+1)*24,2)),"")</f>
        <v/>
      </c>
      <c r="F19" s="13" t="str">
        <f aca="false">IF(E19&lt;&gt;"",ROUND(E19*$I$2,0),"")</f>
        <v/>
      </c>
      <c r="G19" s="14"/>
      <c r="H19" s="15"/>
      <c r="I19" s="16"/>
      <c r="J19" s="14"/>
      <c r="K19" s="16"/>
      <c r="L19" s="15"/>
      <c r="M19" s="17"/>
      <c r="N19" s="18"/>
      <c r="O19" s="17"/>
    </row>
    <row r="20" customFormat="false" ht="18.75" hidden="false" customHeight="true" outlineLevel="0" collapsed="false">
      <c r="A20" s="9" t="s">
        <v>379</v>
      </c>
      <c r="B20" s="10" t="s">
        <v>33</v>
      </c>
      <c r="C20" s="11"/>
      <c r="D20" s="11"/>
      <c r="E20" s="12" t="str">
        <f aca="false">IF(AND(C20&lt;&gt;"",D20&lt;&gt;""),IF(D20&gt;=C20,ROUND((D20-C20)*24,2),ROUND((D20-C20+1)*24,2)),"")</f>
        <v/>
      </c>
      <c r="F20" s="13" t="str">
        <f aca="false">IF(E20&lt;&gt;"",ROUND(E20*$I$2,0),"")</f>
        <v/>
      </c>
      <c r="G20" s="14"/>
      <c r="H20" s="15"/>
      <c r="I20" s="16"/>
      <c r="J20" s="14"/>
      <c r="K20" s="16"/>
      <c r="L20" s="15"/>
      <c r="M20" s="17"/>
      <c r="N20" s="18"/>
      <c r="O20" s="17"/>
    </row>
    <row r="21" customFormat="false" ht="18.75" hidden="false" customHeight="true" outlineLevel="0" collapsed="false">
      <c r="A21" s="9" t="s">
        <v>380</v>
      </c>
      <c r="B21" s="10" t="s">
        <v>35</v>
      </c>
      <c r="C21" s="11"/>
      <c r="D21" s="11"/>
      <c r="E21" s="12" t="str">
        <f aca="false">IF(AND(C21&lt;&gt;"",D21&lt;&gt;""),IF(D21&gt;=C21,ROUND((D21-C21)*24,2),ROUND((D21-C21+1)*24,2)),"")</f>
        <v/>
      </c>
      <c r="F21" s="13" t="str">
        <f aca="false">IF(E21&lt;&gt;"",ROUND(E21*$I$2,0),"")</f>
        <v/>
      </c>
      <c r="G21" s="14"/>
      <c r="H21" s="15"/>
      <c r="I21" s="16"/>
      <c r="J21" s="14"/>
      <c r="K21" s="16"/>
      <c r="L21" s="15"/>
      <c r="M21" s="17"/>
      <c r="N21" s="18"/>
      <c r="O21" s="17"/>
    </row>
    <row r="22" customFormat="false" ht="18.75" hidden="false" customHeight="true" outlineLevel="0" collapsed="false">
      <c r="A22" s="9" t="s">
        <v>381</v>
      </c>
      <c r="B22" s="10" t="s">
        <v>23</v>
      </c>
      <c r="C22" s="11"/>
      <c r="D22" s="11"/>
      <c r="E22" s="12" t="str">
        <f aca="false">IF(AND(C22&lt;&gt;"",D22&lt;&gt;""),IF(D22&gt;=C22,ROUND((D22-C22)*24,2),ROUND((D22-C22+1)*24,2)),"")</f>
        <v/>
      </c>
      <c r="F22" s="13" t="str">
        <f aca="false">IF(E22&lt;&gt;"",ROUND(E22*$I$2,0),"")</f>
        <v/>
      </c>
      <c r="G22" s="14"/>
      <c r="H22" s="15"/>
      <c r="I22" s="16"/>
      <c r="J22" s="14"/>
      <c r="K22" s="16"/>
      <c r="L22" s="15"/>
      <c r="M22" s="17"/>
      <c r="N22" s="18"/>
      <c r="O22" s="17"/>
    </row>
    <row r="23" customFormat="false" ht="18.75" hidden="false" customHeight="true" outlineLevel="0" collapsed="false">
      <c r="A23" s="9" t="s">
        <v>382</v>
      </c>
      <c r="B23" s="10" t="s">
        <v>25</v>
      </c>
      <c r="C23" s="11"/>
      <c r="D23" s="11"/>
      <c r="E23" s="12" t="str">
        <f aca="false">IF(AND(C23&lt;&gt;"",D23&lt;&gt;""),IF(D23&gt;=C23,ROUND((D23-C23)*24,2),ROUND((D23-C23+1)*24,2)),"")</f>
        <v/>
      </c>
      <c r="F23" s="13" t="str">
        <f aca="false">IF(E23&lt;&gt;"",ROUND(E23*$I$2,0),"")</f>
        <v/>
      </c>
      <c r="G23" s="14"/>
      <c r="H23" s="15"/>
      <c r="I23" s="16"/>
      <c r="J23" s="14"/>
      <c r="K23" s="16"/>
      <c r="L23" s="15"/>
      <c r="M23" s="17"/>
      <c r="N23" s="18"/>
      <c r="O23" s="17"/>
    </row>
    <row r="24" customFormat="false" ht="18.75" hidden="false" customHeight="true" outlineLevel="0" collapsed="false">
      <c r="A24" s="19" t="s">
        <v>383</v>
      </c>
      <c r="B24" s="20" t="s">
        <v>27</v>
      </c>
      <c r="C24" s="21"/>
      <c r="D24" s="21"/>
      <c r="E24" s="22" t="str">
        <f aca="false">IF(AND(C24&lt;&gt;"",D24&lt;&gt;""),IF(D24&gt;=C24,ROUND((D24-C24)*24,2),ROUND((D24-C24+1)*24,2)),"")</f>
        <v/>
      </c>
      <c r="F24" s="23" t="str">
        <f aca="false">IF(E24&lt;&gt;"",ROUND(E24*$I$2,0),"")</f>
        <v/>
      </c>
      <c r="G24" s="24"/>
      <c r="H24" s="25"/>
      <c r="I24" s="23"/>
      <c r="J24" s="24"/>
      <c r="K24" s="23"/>
      <c r="L24" s="25"/>
      <c r="M24" s="23"/>
      <c r="N24" s="24"/>
      <c r="O24" s="23"/>
    </row>
    <row r="25" customFormat="false" ht="18.75" hidden="false" customHeight="true" outlineLevel="0" collapsed="false">
      <c r="A25" s="26" t="s">
        <v>384</v>
      </c>
      <c r="B25" s="27" t="s">
        <v>29</v>
      </c>
      <c r="C25" s="28"/>
      <c r="D25" s="28"/>
      <c r="E25" s="29" t="str">
        <f aca="false">IF(AND(C25&lt;&gt;"",D25&lt;&gt;""),IF(D25&gt;=C25,ROUND((D25-C25)*24,2),ROUND((D25-C25+1)*24,2)),"")</f>
        <v/>
      </c>
      <c r="F25" s="30" t="str">
        <f aca="false">IF(E25&lt;&gt;"",ROUND(E25*$I$2,0),"")</f>
        <v/>
      </c>
      <c r="G25" s="31"/>
      <c r="H25" s="32"/>
      <c r="I25" s="30"/>
      <c r="J25" s="31"/>
      <c r="K25" s="30"/>
      <c r="L25" s="32"/>
      <c r="M25" s="30"/>
      <c r="N25" s="31"/>
      <c r="O25" s="30"/>
    </row>
    <row r="26" customFormat="false" ht="18.75" hidden="false" customHeight="true" outlineLevel="0" collapsed="false">
      <c r="A26" s="9" t="s">
        <v>385</v>
      </c>
      <c r="B26" s="10" t="s">
        <v>31</v>
      </c>
      <c r="C26" s="11"/>
      <c r="D26" s="11"/>
      <c r="E26" s="12" t="str">
        <f aca="false">IF(AND(C26&lt;&gt;"",D26&lt;&gt;""),IF(D26&gt;=C26,ROUND((D26-C26)*24,2),ROUND((D26-C26+1)*24,2)),"")</f>
        <v/>
      </c>
      <c r="F26" s="13" t="str">
        <f aca="false">IF(E26&lt;&gt;"",ROUND(E26*$I$2,0),"")</f>
        <v/>
      </c>
      <c r="G26" s="14"/>
      <c r="H26" s="15"/>
      <c r="I26" s="16"/>
      <c r="J26" s="14"/>
      <c r="K26" s="16"/>
      <c r="L26" s="15"/>
      <c r="M26" s="17"/>
      <c r="N26" s="18"/>
      <c r="O26" s="17"/>
    </row>
    <row r="27" customFormat="false" ht="18.75" hidden="false" customHeight="true" outlineLevel="0" collapsed="false">
      <c r="A27" s="9" t="s">
        <v>386</v>
      </c>
      <c r="B27" s="10" t="s">
        <v>33</v>
      </c>
      <c r="C27" s="11"/>
      <c r="D27" s="11"/>
      <c r="E27" s="12" t="str">
        <f aca="false">IF(AND(C27&lt;&gt;"",D27&lt;&gt;""),IF(D27&gt;=C27,ROUND((D27-C27)*24,2),ROUND((D27-C27+1)*24,2)),"")</f>
        <v/>
      </c>
      <c r="F27" s="13" t="str">
        <f aca="false">IF(E27&lt;&gt;"",ROUND(E27*$I$2,0),"")</f>
        <v/>
      </c>
      <c r="G27" s="14"/>
      <c r="H27" s="15"/>
      <c r="I27" s="16"/>
      <c r="J27" s="14"/>
      <c r="K27" s="16"/>
      <c r="L27" s="15"/>
      <c r="M27" s="17"/>
      <c r="N27" s="18"/>
      <c r="O27" s="17"/>
    </row>
    <row r="28" customFormat="false" ht="18.75" hidden="false" customHeight="true" outlineLevel="0" collapsed="false">
      <c r="A28" s="9" t="s">
        <v>387</v>
      </c>
      <c r="B28" s="10" t="s">
        <v>35</v>
      </c>
      <c r="C28" s="11"/>
      <c r="D28" s="11"/>
      <c r="E28" s="12" t="str">
        <f aca="false">IF(AND(C28&lt;&gt;"",D28&lt;&gt;""),IF(D28&gt;=C28,ROUND((D28-C28)*24,2),ROUND((D28-C28+1)*24,2)),"")</f>
        <v/>
      </c>
      <c r="F28" s="13" t="str">
        <f aca="false">IF(E28&lt;&gt;"",ROUND(E28*$I$2,0),"")</f>
        <v/>
      </c>
      <c r="G28" s="14"/>
      <c r="H28" s="15"/>
      <c r="I28" s="16"/>
      <c r="J28" s="14"/>
      <c r="K28" s="16"/>
      <c r="L28" s="15"/>
      <c r="M28" s="17"/>
      <c r="N28" s="18"/>
      <c r="O28" s="17"/>
    </row>
    <row r="29" customFormat="false" ht="18.75" hidden="false" customHeight="true" outlineLevel="0" collapsed="false">
      <c r="A29" s="9" t="s">
        <v>388</v>
      </c>
      <c r="B29" s="10" t="s">
        <v>23</v>
      </c>
      <c r="C29" s="11"/>
      <c r="D29" s="11"/>
      <c r="E29" s="12" t="str">
        <f aca="false">IF(AND(C29&lt;&gt;"",D29&lt;&gt;""),IF(D29&gt;=C29,ROUND((D29-C29)*24,2),ROUND((D29-C29+1)*24,2)),"")</f>
        <v/>
      </c>
      <c r="F29" s="13" t="str">
        <f aca="false">IF(E29&lt;&gt;"",ROUND(E29*$I$2,0),"")</f>
        <v/>
      </c>
      <c r="G29" s="14"/>
      <c r="H29" s="15"/>
      <c r="I29" s="16"/>
      <c r="J29" s="14"/>
      <c r="K29" s="16"/>
      <c r="L29" s="15"/>
      <c r="M29" s="17"/>
      <c r="N29" s="18"/>
      <c r="O29" s="17"/>
    </row>
    <row r="30" customFormat="false" ht="18.75" hidden="false" customHeight="true" outlineLevel="0" collapsed="false">
      <c r="A30" s="9" t="s">
        <v>389</v>
      </c>
      <c r="B30" s="10" t="s">
        <v>25</v>
      </c>
      <c r="C30" s="11"/>
      <c r="D30" s="11"/>
      <c r="E30" s="12" t="str">
        <f aca="false">IF(AND(C30&lt;&gt;"",D30&lt;&gt;""),IF(D30&gt;=C30,ROUND((D30-C30)*24,2),ROUND((D30-C30+1)*24,2)),"")</f>
        <v/>
      </c>
      <c r="F30" s="13" t="str">
        <f aca="false">IF(E30&lt;&gt;"",ROUND(E30*$I$2,0),"")</f>
        <v/>
      </c>
      <c r="G30" s="14"/>
      <c r="H30" s="15"/>
      <c r="I30" s="16"/>
      <c r="J30" s="14"/>
      <c r="K30" s="16"/>
      <c r="L30" s="15"/>
      <c r="M30" s="17"/>
      <c r="N30" s="18"/>
      <c r="O30" s="17"/>
    </row>
    <row r="31" customFormat="false" ht="18.75" hidden="false" customHeight="true" outlineLevel="0" collapsed="false">
      <c r="A31" s="19" t="s">
        <v>390</v>
      </c>
      <c r="B31" s="20" t="s">
        <v>27</v>
      </c>
      <c r="C31" s="21"/>
      <c r="D31" s="21"/>
      <c r="E31" s="22" t="str">
        <f aca="false">IF(AND(C31&lt;&gt;"",D31&lt;&gt;""),IF(D31&gt;=C31,ROUND((D31-C31)*24,2),ROUND((D31-C31+1)*24,2)),"")</f>
        <v/>
      </c>
      <c r="F31" s="23" t="str">
        <f aca="false">IF(E31&lt;&gt;"",ROUND(E31*$I$2,0),"")</f>
        <v/>
      </c>
      <c r="G31" s="24"/>
      <c r="H31" s="25"/>
      <c r="I31" s="23"/>
      <c r="J31" s="24"/>
      <c r="K31" s="23"/>
      <c r="L31" s="25"/>
      <c r="M31" s="23"/>
      <c r="N31" s="24"/>
      <c r="O31" s="23"/>
    </row>
    <row r="32" customFormat="false" ht="18.75" hidden="false" customHeight="true" outlineLevel="0" collapsed="false">
      <c r="A32" s="26" t="s">
        <v>391</v>
      </c>
      <c r="B32" s="27" t="s">
        <v>29</v>
      </c>
      <c r="C32" s="28"/>
      <c r="D32" s="28"/>
      <c r="E32" s="29" t="str">
        <f aca="false">IF(AND(C32&lt;&gt;"",D32&lt;&gt;""),IF(D32&gt;=C32,ROUND((D32-C32)*24,2),ROUND((D32-C32+1)*24,2)),"")</f>
        <v/>
      </c>
      <c r="F32" s="30" t="str">
        <f aca="false">IF(E32&lt;&gt;"",ROUND(E32*$I$2,0),"")</f>
        <v/>
      </c>
      <c r="G32" s="31"/>
      <c r="H32" s="32"/>
      <c r="I32" s="30"/>
      <c r="J32" s="31"/>
      <c r="K32" s="30"/>
      <c r="L32" s="32"/>
      <c r="M32" s="30"/>
      <c r="N32" s="31"/>
      <c r="O32" s="30"/>
    </row>
    <row r="33" customFormat="false" ht="18.75" hidden="false" customHeight="true" outlineLevel="0" collapsed="false">
      <c r="A33" s="9" t="s">
        <v>392</v>
      </c>
      <c r="B33" s="10" t="s">
        <v>31</v>
      </c>
      <c r="C33" s="11"/>
      <c r="D33" s="11"/>
      <c r="E33" s="12" t="str">
        <f aca="false">IF(AND(C33&lt;&gt;"",D33&lt;&gt;""),IF(D33&gt;=C33,ROUND((D33-C33)*24,2),ROUND((D33-C33+1)*24,2)),"")</f>
        <v/>
      </c>
      <c r="F33" s="13" t="str">
        <f aca="false">IF(E33&lt;&gt;"",ROUND(E33*$I$2,0),"")</f>
        <v/>
      </c>
      <c r="G33" s="14"/>
      <c r="H33" s="15"/>
      <c r="I33" s="16"/>
      <c r="J33" s="14"/>
      <c r="K33" s="16"/>
      <c r="L33" s="15"/>
      <c r="M33" s="17"/>
      <c r="N33" s="18"/>
      <c r="O33" s="17"/>
    </row>
    <row r="34" customFormat="false" ht="3.75" hidden="false" customHeight="true" outlineLevel="0" collapsed="false"/>
    <row r="35" customFormat="false" ht="25.5" hidden="false" customHeight="true" outlineLevel="0" collapsed="false">
      <c r="A35" s="33" t="s">
        <v>60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</row>
    <row r="36" customFormat="false" ht="22.5" hidden="false" customHeight="true" outlineLevel="0" collapsed="false">
      <c r="A36" s="34" t="s">
        <v>61</v>
      </c>
      <c r="B36" s="34"/>
      <c r="C36" s="34"/>
      <c r="D36" s="34"/>
      <c r="E36" s="34"/>
      <c r="F36" s="35" t="n">
        <f aca="false">COUNT(E4:E33)</f>
        <v>0</v>
      </c>
      <c r="G36" s="35"/>
      <c r="H36" s="35"/>
      <c r="I36" s="35"/>
      <c r="J36" s="35"/>
      <c r="K36" s="35"/>
      <c r="L36" s="35"/>
      <c r="M36" s="35"/>
      <c r="N36" s="35"/>
      <c r="O36" s="35"/>
    </row>
    <row r="37" customFormat="false" ht="22.5" hidden="false" customHeight="true" outlineLevel="0" collapsed="false">
      <c r="A37" s="36" t="s">
        <v>62</v>
      </c>
      <c r="B37" s="36"/>
      <c r="C37" s="36"/>
      <c r="D37" s="36"/>
      <c r="E37" s="36"/>
      <c r="F37" s="37" t="n">
        <f aca="false">SUM(E4:E33)</f>
        <v>0</v>
      </c>
      <c r="G37" s="37"/>
      <c r="H37" s="37"/>
      <c r="I37" s="37"/>
      <c r="J37" s="37"/>
      <c r="K37" s="37"/>
      <c r="L37" s="37"/>
      <c r="M37" s="37"/>
      <c r="N37" s="37"/>
      <c r="O37" s="37"/>
    </row>
    <row r="38" customFormat="false" ht="22.5" hidden="false" customHeight="true" outlineLevel="0" collapsed="false">
      <c r="A38" s="38" t="s">
        <v>63</v>
      </c>
      <c r="B38" s="38"/>
      <c r="C38" s="38"/>
      <c r="D38" s="38"/>
      <c r="E38" s="38"/>
      <c r="F38" s="39" t="n">
        <f aca="false">SUM(F4:F33)</f>
        <v>0</v>
      </c>
      <c r="G38" s="39"/>
      <c r="H38" s="39"/>
      <c r="I38" s="39"/>
      <c r="J38" s="39"/>
      <c r="K38" s="39"/>
      <c r="L38" s="39"/>
      <c r="M38" s="39"/>
      <c r="N38" s="39"/>
      <c r="O38" s="39"/>
    </row>
    <row r="39" customFormat="false" ht="22.5" hidden="false" customHeight="true" outlineLevel="0" collapsed="false">
      <c r="A39" s="36" t="s">
        <v>64</v>
      </c>
      <c r="B39" s="36"/>
      <c r="C39" s="36"/>
      <c r="D39" s="36"/>
      <c r="E39" s="36"/>
      <c r="F39" s="40" t="n">
        <f aca="false">IF(F38=0,0,IFERROR(VLOOKUP(F38,税額表!$A$2:$B$74,2,TRUE()),0))</f>
        <v>0</v>
      </c>
      <c r="G39" s="40"/>
      <c r="H39" s="40"/>
      <c r="I39" s="40"/>
      <c r="J39" s="40"/>
      <c r="K39" s="40"/>
      <c r="L39" s="40"/>
      <c r="M39" s="40"/>
      <c r="N39" s="40"/>
      <c r="O39" s="40"/>
    </row>
    <row r="40" customFormat="false" ht="22.5" hidden="false" customHeight="true" outlineLevel="0" collapsed="false">
      <c r="A40" s="38" t="s">
        <v>65</v>
      </c>
      <c r="B40" s="38"/>
      <c r="C40" s="38"/>
      <c r="D40" s="38"/>
      <c r="E40" s="38"/>
      <c r="F40" s="39" t="n">
        <f aca="false">F38-F39</f>
        <v>0</v>
      </c>
      <c r="G40" s="39"/>
      <c r="H40" s="39"/>
      <c r="I40" s="39"/>
      <c r="J40" s="39"/>
      <c r="K40" s="39"/>
      <c r="L40" s="39"/>
      <c r="M40" s="39"/>
      <c r="N40" s="39"/>
      <c r="O40" s="39"/>
    </row>
    <row r="41" customFormat="false" ht="22.5" hidden="false" customHeight="true" outlineLevel="0" collapsed="false">
      <c r="A41" s="36" t="s">
        <v>66</v>
      </c>
      <c r="B41" s="36"/>
      <c r="C41" s="36"/>
      <c r="D41" s="36"/>
      <c r="E41" s="36"/>
      <c r="F41" s="40" t="n">
        <f aca="false">SUM(I4:I33)</f>
        <v>0</v>
      </c>
      <c r="G41" s="40"/>
      <c r="H41" s="40"/>
      <c r="I41" s="40"/>
      <c r="J41" s="40"/>
      <c r="K41" s="40"/>
      <c r="L41" s="40"/>
      <c r="M41" s="40"/>
      <c r="N41" s="40"/>
      <c r="O41" s="40"/>
    </row>
    <row r="42" customFormat="false" ht="22.5" hidden="false" customHeight="true" outlineLevel="0" collapsed="false">
      <c r="A42" s="36" t="s">
        <v>67</v>
      </c>
      <c r="B42" s="36"/>
      <c r="C42" s="36"/>
      <c r="D42" s="36"/>
      <c r="E42" s="36"/>
      <c r="F42" s="40" t="n">
        <f aca="false">SUMIF(L4:L33,"現金",K4:K33)+SUMIF(L4:L33,"個人カード",K4:K33)</f>
        <v>0</v>
      </c>
      <c r="G42" s="40"/>
      <c r="H42" s="40"/>
      <c r="I42" s="40"/>
      <c r="J42" s="40"/>
      <c r="K42" s="40"/>
      <c r="L42" s="40"/>
      <c r="M42" s="40"/>
      <c r="N42" s="40"/>
      <c r="O42" s="40"/>
    </row>
    <row r="43" customFormat="false" ht="22.5" hidden="false" customHeight="true" outlineLevel="0" collapsed="false">
      <c r="A43" s="41" t="s">
        <v>68</v>
      </c>
      <c r="B43" s="41"/>
      <c r="C43" s="41"/>
      <c r="D43" s="41"/>
      <c r="E43" s="41"/>
      <c r="F43" s="42" t="n">
        <f aca="false">SUM(M4:M33)</f>
        <v>0</v>
      </c>
      <c r="G43" s="42"/>
      <c r="H43" s="42"/>
      <c r="I43" s="42"/>
      <c r="J43" s="42"/>
      <c r="K43" s="42"/>
      <c r="L43" s="42"/>
      <c r="M43" s="42"/>
      <c r="N43" s="42"/>
      <c r="O43" s="42"/>
    </row>
    <row r="44" customFormat="false" ht="22.5" hidden="false" customHeight="true" outlineLevel="0" collapsed="false">
      <c r="A44" s="41" t="s">
        <v>69</v>
      </c>
      <c r="B44" s="41"/>
      <c r="C44" s="41"/>
      <c r="D44" s="41"/>
      <c r="E44" s="41"/>
      <c r="F44" s="42" t="n">
        <f aca="false">SUM(O4:O33)</f>
        <v>0</v>
      </c>
      <c r="G44" s="42"/>
      <c r="H44" s="42"/>
      <c r="I44" s="42"/>
      <c r="J44" s="42"/>
      <c r="K44" s="42"/>
      <c r="L44" s="42"/>
      <c r="M44" s="42"/>
      <c r="N44" s="42"/>
      <c r="O44" s="42"/>
    </row>
    <row r="45" customFormat="false" ht="22.5" hidden="false" customHeight="true" outlineLevel="0" collapsed="false">
      <c r="A45" s="43" t="s">
        <v>70</v>
      </c>
      <c r="B45" s="43"/>
      <c r="C45" s="43"/>
      <c r="D45" s="43"/>
      <c r="E45" s="43"/>
      <c r="F45" s="44" t="n">
        <f aca="false">'10月'!F43</f>
        <v>0</v>
      </c>
      <c r="G45" s="44"/>
      <c r="H45" s="44"/>
      <c r="I45" s="44"/>
      <c r="J45" s="44"/>
      <c r="K45" s="44"/>
      <c r="L45" s="44"/>
      <c r="M45" s="44"/>
      <c r="N45" s="44"/>
      <c r="O45" s="44"/>
    </row>
    <row r="46" customFormat="false" ht="22.5" hidden="false" customHeight="true" outlineLevel="0" collapsed="false">
      <c r="A46" s="45" t="s">
        <v>71</v>
      </c>
      <c r="B46" s="45"/>
      <c r="C46" s="45"/>
      <c r="D46" s="45"/>
      <c r="E46" s="45"/>
      <c r="F46" s="46" t="n">
        <f aca="false">F40+F41+F42+F43+F44+F45</f>
        <v>0</v>
      </c>
      <c r="G46" s="46"/>
      <c r="H46" s="46"/>
      <c r="I46" s="46"/>
      <c r="J46" s="46"/>
      <c r="K46" s="46"/>
      <c r="L46" s="46"/>
      <c r="M46" s="46"/>
      <c r="N46" s="46"/>
      <c r="O46" s="46"/>
    </row>
    <row r="48" customFormat="false" ht="13.5" hidden="false" customHeight="true" outlineLevel="0" collapsed="false">
      <c r="A48" s="47" t="s">
        <v>72</v>
      </c>
      <c r="B48" s="47"/>
      <c r="C48" s="48" t="s">
        <v>73</v>
      </c>
      <c r="D48" s="48"/>
      <c r="E48" s="49" t="s">
        <v>74</v>
      </c>
      <c r="F48" s="49"/>
      <c r="G48" s="50" t="s">
        <v>75</v>
      </c>
      <c r="H48" s="50"/>
      <c r="I48" s="51" t="s">
        <v>76</v>
      </c>
      <c r="J48" s="51"/>
      <c r="K48" s="52" t="s">
        <v>108</v>
      </c>
      <c r="L48" s="52"/>
    </row>
    <row r="49" customFormat="false" ht="30" hidden="false" customHeight="true" outlineLevel="0" collapsed="false">
      <c r="A49" s="53" t="s">
        <v>78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</row>
  </sheetData>
  <mergeCells count="36">
    <mergeCell ref="A1:O1"/>
    <mergeCell ref="A2:B2"/>
    <mergeCell ref="C2:F2"/>
    <mergeCell ref="G2:H2"/>
    <mergeCell ref="I2:K2"/>
    <mergeCell ref="L2:O2"/>
    <mergeCell ref="A35:O35"/>
    <mergeCell ref="A36:E36"/>
    <mergeCell ref="F36:O36"/>
    <mergeCell ref="A37:E37"/>
    <mergeCell ref="F37:O37"/>
    <mergeCell ref="A38:E38"/>
    <mergeCell ref="F38:O38"/>
    <mergeCell ref="A39:E39"/>
    <mergeCell ref="F39:O39"/>
    <mergeCell ref="A40:E40"/>
    <mergeCell ref="F40:O40"/>
    <mergeCell ref="A41:E41"/>
    <mergeCell ref="F41:O41"/>
    <mergeCell ref="A42:E42"/>
    <mergeCell ref="F42:O42"/>
    <mergeCell ref="A43:E43"/>
    <mergeCell ref="F43:O43"/>
    <mergeCell ref="A44:E44"/>
    <mergeCell ref="F44:O44"/>
    <mergeCell ref="A45:E45"/>
    <mergeCell ref="F45:O45"/>
    <mergeCell ref="A46:E46"/>
    <mergeCell ref="F46:O46"/>
    <mergeCell ref="A48:B48"/>
    <mergeCell ref="C48:D48"/>
    <mergeCell ref="E48:F48"/>
    <mergeCell ref="G48:H48"/>
    <mergeCell ref="I48:J48"/>
    <mergeCell ref="K48:L48"/>
    <mergeCell ref="A49:O49"/>
  </mergeCells>
  <dataValidations count="1">
    <dataValidation allowBlank="true" error="「現金」「個人カード」「法人カード」から選択してください。" errorStyle="stop" errorTitle="入力エラー" operator="between" showDropDown="false" showErrorMessage="true" showInputMessage="false" sqref="L4:L33" type="list">
      <formula1>"現金,個人カード,法人カード"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6.82"/>
    <col collapsed="false" customWidth="true" hidden="false" outlineLevel="0" max="2" min="2" style="0" width="3.81"/>
    <col collapsed="false" customWidth="true" hidden="false" outlineLevel="0" max="4" min="3" style="0" width="11.04"/>
    <col collapsed="false" customWidth="true" hidden="false" outlineLevel="0" max="5" min="5" style="0" width="8.99"/>
    <col collapsed="false" customWidth="true" hidden="false" outlineLevel="0" max="6" min="6" style="0" width="11.04"/>
    <col collapsed="false" customWidth="true" hidden="false" outlineLevel="0" max="7" min="7" style="0" width="14.04"/>
    <col collapsed="false" customWidth="true" hidden="false" outlineLevel="0" max="9" min="8" style="0" width="11.04"/>
    <col collapsed="false" customWidth="true" hidden="false" outlineLevel="0" max="10" min="10" style="0" width="17.99"/>
    <col collapsed="false" customWidth="true" hidden="false" outlineLevel="0" max="11" min="11" style="0" width="12.81"/>
    <col collapsed="false" customWidth="true" hidden="false" outlineLevel="0" max="12" min="12" style="0" width="11.99"/>
    <col collapsed="false" customWidth="true" hidden="false" outlineLevel="0" max="13" min="13" style="0" width="9.82"/>
    <col collapsed="false" customWidth="true" hidden="false" outlineLevel="0" max="14" min="14" style="0" width="15.81"/>
    <col collapsed="false" customWidth="true" hidden="false" outlineLevel="0" max="15" min="15" style="0" width="12.81"/>
  </cols>
  <sheetData>
    <row r="1" customFormat="false" ht="36" hidden="false" customHeight="true" outlineLevel="0" collapsed="false">
      <c r="A1" s="2" t="s">
        <v>393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4" hidden="false" customHeight="true" outlineLevel="0" collapsed="false">
      <c r="A2" s="3" t="s">
        <v>3</v>
      </c>
      <c r="B2" s="3"/>
      <c r="C2" s="4" t="s">
        <v>4</v>
      </c>
      <c r="D2" s="4"/>
      <c r="E2" s="4"/>
      <c r="F2" s="4"/>
      <c r="G2" s="3" t="s">
        <v>5</v>
      </c>
      <c r="H2" s="3"/>
      <c r="I2" s="5" t="n">
        <v>1300</v>
      </c>
      <c r="J2" s="5"/>
      <c r="K2" s="5"/>
      <c r="L2" s="6" t="s">
        <v>6</v>
      </c>
      <c r="M2" s="6"/>
      <c r="N2" s="6"/>
      <c r="O2" s="6"/>
    </row>
    <row r="3" customFormat="false" ht="42" hidden="false" customHeight="true" outlineLevel="0" collapsed="false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18</v>
      </c>
      <c r="M3" s="8" t="s">
        <v>19</v>
      </c>
      <c r="N3" s="8" t="s">
        <v>20</v>
      </c>
      <c r="O3" s="8" t="s">
        <v>21</v>
      </c>
    </row>
    <row r="4" customFormat="false" ht="18.75" hidden="false" customHeight="true" outlineLevel="0" collapsed="false">
      <c r="A4" s="9" t="s">
        <v>394</v>
      </c>
      <c r="B4" s="10" t="s">
        <v>33</v>
      </c>
      <c r="C4" s="11"/>
      <c r="D4" s="11"/>
      <c r="E4" s="12" t="str">
        <f aca="false">IF(AND(C4&lt;&gt;"",D4&lt;&gt;""),IF(D4&gt;=C4,ROUND((D4-C4)*24,2),ROUND((D4-C4+1)*24,2)),"")</f>
        <v/>
      </c>
      <c r="F4" s="13" t="str">
        <f aca="false">IF(E4&lt;&gt;"",ROUND(E4*$I$2,0),"")</f>
        <v/>
      </c>
      <c r="G4" s="14"/>
      <c r="H4" s="15"/>
      <c r="I4" s="16"/>
      <c r="J4" s="14"/>
      <c r="K4" s="16"/>
      <c r="L4" s="15"/>
      <c r="M4" s="17"/>
      <c r="N4" s="18"/>
      <c r="O4" s="17"/>
    </row>
    <row r="5" customFormat="false" ht="18.75" hidden="false" customHeight="true" outlineLevel="0" collapsed="false">
      <c r="A5" s="9" t="s">
        <v>395</v>
      </c>
      <c r="B5" s="10" t="s">
        <v>35</v>
      </c>
      <c r="C5" s="11"/>
      <c r="D5" s="11"/>
      <c r="E5" s="12" t="str">
        <f aca="false">IF(AND(C5&lt;&gt;"",D5&lt;&gt;""),IF(D5&gt;=C5,ROUND((D5-C5)*24,2),ROUND((D5-C5+1)*24,2)),"")</f>
        <v/>
      </c>
      <c r="F5" s="13" t="str">
        <f aca="false">IF(E5&lt;&gt;"",ROUND(E5*$I$2,0),"")</f>
        <v/>
      </c>
      <c r="G5" s="14"/>
      <c r="H5" s="15"/>
      <c r="I5" s="16"/>
      <c r="J5" s="14"/>
      <c r="K5" s="16"/>
      <c r="L5" s="15"/>
      <c r="M5" s="17"/>
      <c r="N5" s="18"/>
      <c r="O5" s="17"/>
    </row>
    <row r="6" customFormat="false" ht="18.75" hidden="false" customHeight="true" outlineLevel="0" collapsed="false">
      <c r="A6" s="9" t="s">
        <v>396</v>
      </c>
      <c r="B6" s="10" t="s">
        <v>23</v>
      </c>
      <c r="C6" s="11"/>
      <c r="D6" s="11"/>
      <c r="E6" s="12" t="str">
        <f aca="false">IF(AND(C6&lt;&gt;"",D6&lt;&gt;""),IF(D6&gt;=C6,ROUND((D6-C6)*24,2),ROUND((D6-C6+1)*24,2)),"")</f>
        <v/>
      </c>
      <c r="F6" s="13" t="str">
        <f aca="false">IF(E6&lt;&gt;"",ROUND(E6*$I$2,0),"")</f>
        <v/>
      </c>
      <c r="G6" s="14"/>
      <c r="H6" s="15"/>
      <c r="I6" s="16"/>
      <c r="J6" s="14"/>
      <c r="K6" s="16"/>
      <c r="L6" s="15"/>
      <c r="M6" s="17"/>
      <c r="N6" s="18"/>
      <c r="O6" s="17"/>
    </row>
    <row r="7" customFormat="false" ht="18.75" hidden="false" customHeight="true" outlineLevel="0" collapsed="false">
      <c r="A7" s="9" t="s">
        <v>397</v>
      </c>
      <c r="B7" s="10" t="s">
        <v>25</v>
      </c>
      <c r="C7" s="11"/>
      <c r="D7" s="11"/>
      <c r="E7" s="12" t="str">
        <f aca="false">IF(AND(C7&lt;&gt;"",D7&lt;&gt;""),IF(D7&gt;=C7,ROUND((D7-C7)*24,2),ROUND((D7-C7+1)*24,2)),"")</f>
        <v/>
      </c>
      <c r="F7" s="13" t="str">
        <f aca="false">IF(E7&lt;&gt;"",ROUND(E7*$I$2,0),"")</f>
        <v/>
      </c>
      <c r="G7" s="14"/>
      <c r="H7" s="15"/>
      <c r="I7" s="16"/>
      <c r="J7" s="14"/>
      <c r="K7" s="16"/>
      <c r="L7" s="15"/>
      <c r="M7" s="17"/>
      <c r="N7" s="18"/>
      <c r="O7" s="17"/>
    </row>
    <row r="8" customFormat="false" ht="18.75" hidden="false" customHeight="true" outlineLevel="0" collapsed="false">
      <c r="A8" s="19" t="s">
        <v>398</v>
      </c>
      <c r="B8" s="20" t="s">
        <v>27</v>
      </c>
      <c r="C8" s="21"/>
      <c r="D8" s="21"/>
      <c r="E8" s="22" t="str">
        <f aca="false">IF(AND(C8&lt;&gt;"",D8&lt;&gt;""),IF(D8&gt;=C8,ROUND((D8-C8)*24,2),ROUND((D8-C8+1)*24,2)),"")</f>
        <v/>
      </c>
      <c r="F8" s="23" t="str">
        <f aca="false">IF(E8&lt;&gt;"",ROUND(E8*$I$2,0),"")</f>
        <v/>
      </c>
      <c r="G8" s="24"/>
      <c r="H8" s="25"/>
      <c r="I8" s="23"/>
      <c r="J8" s="24"/>
      <c r="K8" s="23"/>
      <c r="L8" s="25"/>
      <c r="M8" s="23"/>
      <c r="N8" s="24"/>
      <c r="O8" s="23"/>
    </row>
    <row r="9" customFormat="false" ht="18.75" hidden="false" customHeight="true" outlineLevel="0" collapsed="false">
      <c r="A9" s="26" t="s">
        <v>399</v>
      </c>
      <c r="B9" s="27" t="s">
        <v>29</v>
      </c>
      <c r="C9" s="28"/>
      <c r="D9" s="28"/>
      <c r="E9" s="29" t="str">
        <f aca="false">IF(AND(C9&lt;&gt;"",D9&lt;&gt;""),IF(D9&gt;=C9,ROUND((D9-C9)*24,2),ROUND((D9-C9+1)*24,2)),"")</f>
        <v/>
      </c>
      <c r="F9" s="30" t="str">
        <f aca="false">IF(E9&lt;&gt;"",ROUND(E9*$I$2,0),"")</f>
        <v/>
      </c>
      <c r="G9" s="31"/>
      <c r="H9" s="32"/>
      <c r="I9" s="30"/>
      <c r="J9" s="31"/>
      <c r="K9" s="30"/>
      <c r="L9" s="32"/>
      <c r="M9" s="30"/>
      <c r="N9" s="31"/>
      <c r="O9" s="30"/>
    </row>
    <row r="10" customFormat="false" ht="18.75" hidden="false" customHeight="true" outlineLevel="0" collapsed="false">
      <c r="A10" s="9" t="s">
        <v>400</v>
      </c>
      <c r="B10" s="10" t="s">
        <v>31</v>
      </c>
      <c r="C10" s="11"/>
      <c r="D10" s="11"/>
      <c r="E10" s="12" t="str">
        <f aca="false">IF(AND(C10&lt;&gt;"",D10&lt;&gt;""),IF(D10&gt;=C10,ROUND((D10-C10)*24,2),ROUND((D10-C10+1)*24,2)),"")</f>
        <v/>
      </c>
      <c r="F10" s="13" t="str">
        <f aca="false">IF(E10&lt;&gt;"",ROUND(E10*$I$2,0),"")</f>
        <v/>
      </c>
      <c r="G10" s="14"/>
      <c r="H10" s="15"/>
      <c r="I10" s="16"/>
      <c r="J10" s="14"/>
      <c r="K10" s="16"/>
      <c r="L10" s="15"/>
      <c r="M10" s="17"/>
      <c r="N10" s="18"/>
      <c r="O10" s="17"/>
    </row>
    <row r="11" customFormat="false" ht="18.75" hidden="false" customHeight="true" outlineLevel="0" collapsed="false">
      <c r="A11" s="9" t="s">
        <v>401</v>
      </c>
      <c r="B11" s="10" t="s">
        <v>33</v>
      </c>
      <c r="C11" s="11"/>
      <c r="D11" s="11"/>
      <c r="E11" s="12" t="str">
        <f aca="false">IF(AND(C11&lt;&gt;"",D11&lt;&gt;""),IF(D11&gt;=C11,ROUND((D11-C11)*24,2),ROUND((D11-C11+1)*24,2)),"")</f>
        <v/>
      </c>
      <c r="F11" s="13" t="str">
        <f aca="false">IF(E11&lt;&gt;"",ROUND(E11*$I$2,0),"")</f>
        <v/>
      </c>
      <c r="G11" s="14"/>
      <c r="H11" s="15"/>
      <c r="I11" s="16"/>
      <c r="J11" s="14"/>
      <c r="K11" s="16"/>
      <c r="L11" s="15"/>
      <c r="M11" s="17"/>
      <c r="N11" s="18"/>
      <c r="O11" s="17"/>
    </row>
    <row r="12" customFormat="false" ht="18.75" hidden="false" customHeight="true" outlineLevel="0" collapsed="false">
      <c r="A12" s="9" t="s">
        <v>402</v>
      </c>
      <c r="B12" s="10" t="s">
        <v>35</v>
      </c>
      <c r="C12" s="11"/>
      <c r="D12" s="11"/>
      <c r="E12" s="12" t="str">
        <f aca="false">IF(AND(C12&lt;&gt;"",D12&lt;&gt;""),IF(D12&gt;=C12,ROUND((D12-C12)*24,2),ROUND((D12-C12+1)*24,2)),"")</f>
        <v/>
      </c>
      <c r="F12" s="13" t="str">
        <f aca="false">IF(E12&lt;&gt;"",ROUND(E12*$I$2,0),"")</f>
        <v/>
      </c>
      <c r="G12" s="14"/>
      <c r="H12" s="15"/>
      <c r="I12" s="16"/>
      <c r="J12" s="14"/>
      <c r="K12" s="16"/>
      <c r="L12" s="15"/>
      <c r="M12" s="17"/>
      <c r="N12" s="18"/>
      <c r="O12" s="17"/>
    </row>
    <row r="13" customFormat="false" ht="18.75" hidden="false" customHeight="true" outlineLevel="0" collapsed="false">
      <c r="A13" s="9" t="s">
        <v>403</v>
      </c>
      <c r="B13" s="10" t="s">
        <v>23</v>
      </c>
      <c r="C13" s="11"/>
      <c r="D13" s="11"/>
      <c r="E13" s="12" t="str">
        <f aca="false">IF(AND(C13&lt;&gt;"",D13&lt;&gt;""),IF(D13&gt;=C13,ROUND((D13-C13)*24,2),ROUND((D13-C13+1)*24,2)),"")</f>
        <v/>
      </c>
      <c r="F13" s="13" t="str">
        <f aca="false">IF(E13&lt;&gt;"",ROUND(E13*$I$2,0),"")</f>
        <v/>
      </c>
      <c r="G13" s="14"/>
      <c r="H13" s="15"/>
      <c r="I13" s="16"/>
      <c r="J13" s="14"/>
      <c r="K13" s="16"/>
      <c r="L13" s="15"/>
      <c r="M13" s="17"/>
      <c r="N13" s="18"/>
      <c r="O13" s="17"/>
    </row>
    <row r="14" customFormat="false" ht="18.75" hidden="false" customHeight="true" outlineLevel="0" collapsed="false">
      <c r="A14" s="9" t="s">
        <v>404</v>
      </c>
      <c r="B14" s="10" t="s">
        <v>25</v>
      </c>
      <c r="C14" s="11"/>
      <c r="D14" s="11"/>
      <c r="E14" s="12" t="str">
        <f aca="false">IF(AND(C14&lt;&gt;"",D14&lt;&gt;""),IF(D14&gt;=C14,ROUND((D14-C14)*24,2),ROUND((D14-C14+1)*24,2)),"")</f>
        <v/>
      </c>
      <c r="F14" s="13" t="str">
        <f aca="false">IF(E14&lt;&gt;"",ROUND(E14*$I$2,0),"")</f>
        <v/>
      </c>
      <c r="G14" s="14"/>
      <c r="H14" s="15"/>
      <c r="I14" s="16"/>
      <c r="J14" s="14"/>
      <c r="K14" s="16"/>
      <c r="L14" s="15"/>
      <c r="M14" s="17"/>
      <c r="N14" s="18"/>
      <c r="O14" s="17"/>
    </row>
    <row r="15" customFormat="false" ht="18.75" hidden="false" customHeight="true" outlineLevel="0" collapsed="false">
      <c r="A15" s="19" t="s">
        <v>405</v>
      </c>
      <c r="B15" s="20" t="s">
        <v>27</v>
      </c>
      <c r="C15" s="21"/>
      <c r="D15" s="21"/>
      <c r="E15" s="22" t="str">
        <f aca="false">IF(AND(C15&lt;&gt;"",D15&lt;&gt;""),IF(D15&gt;=C15,ROUND((D15-C15)*24,2),ROUND((D15-C15+1)*24,2)),"")</f>
        <v/>
      </c>
      <c r="F15" s="23" t="str">
        <f aca="false">IF(E15&lt;&gt;"",ROUND(E15*$I$2,0),"")</f>
        <v/>
      </c>
      <c r="G15" s="24"/>
      <c r="H15" s="25"/>
      <c r="I15" s="23"/>
      <c r="J15" s="24"/>
      <c r="K15" s="23"/>
      <c r="L15" s="25"/>
      <c r="M15" s="23"/>
      <c r="N15" s="24"/>
      <c r="O15" s="23"/>
    </row>
    <row r="16" customFormat="false" ht="18.75" hidden="false" customHeight="true" outlineLevel="0" collapsed="false">
      <c r="A16" s="26" t="s">
        <v>406</v>
      </c>
      <c r="B16" s="27" t="s">
        <v>29</v>
      </c>
      <c r="C16" s="28"/>
      <c r="D16" s="28"/>
      <c r="E16" s="29" t="str">
        <f aca="false">IF(AND(C16&lt;&gt;"",D16&lt;&gt;""),IF(D16&gt;=C16,ROUND((D16-C16)*24,2),ROUND((D16-C16+1)*24,2)),"")</f>
        <v/>
      </c>
      <c r="F16" s="30" t="str">
        <f aca="false">IF(E16&lt;&gt;"",ROUND(E16*$I$2,0),"")</f>
        <v/>
      </c>
      <c r="G16" s="31"/>
      <c r="H16" s="32"/>
      <c r="I16" s="30"/>
      <c r="J16" s="31"/>
      <c r="K16" s="30"/>
      <c r="L16" s="32"/>
      <c r="M16" s="30"/>
      <c r="N16" s="31"/>
      <c r="O16" s="30"/>
    </row>
    <row r="17" customFormat="false" ht="18.75" hidden="false" customHeight="true" outlineLevel="0" collapsed="false">
      <c r="A17" s="9" t="s">
        <v>407</v>
      </c>
      <c r="B17" s="10" t="s">
        <v>31</v>
      </c>
      <c r="C17" s="11"/>
      <c r="D17" s="11"/>
      <c r="E17" s="12" t="str">
        <f aca="false">IF(AND(C17&lt;&gt;"",D17&lt;&gt;""),IF(D17&gt;=C17,ROUND((D17-C17)*24,2),ROUND((D17-C17+1)*24,2)),"")</f>
        <v/>
      </c>
      <c r="F17" s="13" t="str">
        <f aca="false">IF(E17&lt;&gt;"",ROUND(E17*$I$2,0),"")</f>
        <v/>
      </c>
      <c r="G17" s="14"/>
      <c r="H17" s="15"/>
      <c r="I17" s="16"/>
      <c r="J17" s="14"/>
      <c r="K17" s="16"/>
      <c r="L17" s="15"/>
      <c r="M17" s="17"/>
      <c r="N17" s="18"/>
      <c r="O17" s="17"/>
    </row>
    <row r="18" customFormat="false" ht="18.75" hidden="false" customHeight="true" outlineLevel="0" collapsed="false">
      <c r="A18" s="9" t="s">
        <v>408</v>
      </c>
      <c r="B18" s="10" t="s">
        <v>33</v>
      </c>
      <c r="C18" s="11"/>
      <c r="D18" s="11"/>
      <c r="E18" s="12" t="str">
        <f aca="false">IF(AND(C18&lt;&gt;"",D18&lt;&gt;""),IF(D18&gt;=C18,ROUND((D18-C18)*24,2),ROUND((D18-C18+1)*24,2)),"")</f>
        <v/>
      </c>
      <c r="F18" s="13" t="str">
        <f aca="false">IF(E18&lt;&gt;"",ROUND(E18*$I$2,0),"")</f>
        <v/>
      </c>
      <c r="G18" s="14"/>
      <c r="H18" s="15"/>
      <c r="I18" s="16"/>
      <c r="J18" s="14"/>
      <c r="K18" s="16"/>
      <c r="L18" s="15"/>
      <c r="M18" s="17"/>
      <c r="N18" s="18"/>
      <c r="O18" s="17"/>
    </row>
    <row r="19" customFormat="false" ht="18.75" hidden="false" customHeight="true" outlineLevel="0" collapsed="false">
      <c r="A19" s="9" t="s">
        <v>409</v>
      </c>
      <c r="B19" s="10" t="s">
        <v>35</v>
      </c>
      <c r="C19" s="11"/>
      <c r="D19" s="11"/>
      <c r="E19" s="12" t="str">
        <f aca="false">IF(AND(C19&lt;&gt;"",D19&lt;&gt;""),IF(D19&gt;=C19,ROUND((D19-C19)*24,2),ROUND((D19-C19+1)*24,2)),"")</f>
        <v/>
      </c>
      <c r="F19" s="13" t="str">
        <f aca="false">IF(E19&lt;&gt;"",ROUND(E19*$I$2,0),"")</f>
        <v/>
      </c>
      <c r="G19" s="14"/>
      <c r="H19" s="15"/>
      <c r="I19" s="16"/>
      <c r="J19" s="14"/>
      <c r="K19" s="16"/>
      <c r="L19" s="15"/>
      <c r="M19" s="17"/>
      <c r="N19" s="18"/>
      <c r="O19" s="17"/>
    </row>
    <row r="20" customFormat="false" ht="18.75" hidden="false" customHeight="true" outlineLevel="0" collapsed="false">
      <c r="A20" s="9" t="s">
        <v>410</v>
      </c>
      <c r="B20" s="10" t="s">
        <v>23</v>
      </c>
      <c r="C20" s="11"/>
      <c r="D20" s="11"/>
      <c r="E20" s="12" t="str">
        <f aca="false">IF(AND(C20&lt;&gt;"",D20&lt;&gt;""),IF(D20&gt;=C20,ROUND((D20-C20)*24,2),ROUND((D20-C20+1)*24,2)),"")</f>
        <v/>
      </c>
      <c r="F20" s="13" t="str">
        <f aca="false">IF(E20&lt;&gt;"",ROUND(E20*$I$2,0),"")</f>
        <v/>
      </c>
      <c r="G20" s="14"/>
      <c r="H20" s="15"/>
      <c r="I20" s="16"/>
      <c r="J20" s="14"/>
      <c r="K20" s="16"/>
      <c r="L20" s="15"/>
      <c r="M20" s="17"/>
      <c r="N20" s="18"/>
      <c r="O20" s="17"/>
    </row>
    <row r="21" customFormat="false" ht="18.75" hidden="false" customHeight="true" outlineLevel="0" collapsed="false">
      <c r="A21" s="9" t="s">
        <v>411</v>
      </c>
      <c r="B21" s="10" t="s">
        <v>25</v>
      </c>
      <c r="C21" s="11"/>
      <c r="D21" s="11"/>
      <c r="E21" s="12" t="str">
        <f aca="false">IF(AND(C21&lt;&gt;"",D21&lt;&gt;""),IF(D21&gt;=C21,ROUND((D21-C21)*24,2),ROUND((D21-C21+1)*24,2)),"")</f>
        <v/>
      </c>
      <c r="F21" s="13" t="str">
        <f aca="false">IF(E21&lt;&gt;"",ROUND(E21*$I$2,0),"")</f>
        <v/>
      </c>
      <c r="G21" s="14"/>
      <c r="H21" s="15"/>
      <c r="I21" s="16"/>
      <c r="J21" s="14"/>
      <c r="K21" s="16"/>
      <c r="L21" s="15"/>
      <c r="M21" s="17"/>
      <c r="N21" s="18"/>
      <c r="O21" s="17"/>
    </row>
    <row r="22" customFormat="false" ht="18.75" hidden="false" customHeight="true" outlineLevel="0" collapsed="false">
      <c r="A22" s="19" t="s">
        <v>412</v>
      </c>
      <c r="B22" s="20" t="s">
        <v>27</v>
      </c>
      <c r="C22" s="21"/>
      <c r="D22" s="21"/>
      <c r="E22" s="22" t="str">
        <f aca="false">IF(AND(C22&lt;&gt;"",D22&lt;&gt;""),IF(D22&gt;=C22,ROUND((D22-C22)*24,2),ROUND((D22-C22+1)*24,2)),"")</f>
        <v/>
      </c>
      <c r="F22" s="23" t="str">
        <f aca="false">IF(E22&lt;&gt;"",ROUND(E22*$I$2,0),"")</f>
        <v/>
      </c>
      <c r="G22" s="24"/>
      <c r="H22" s="25"/>
      <c r="I22" s="23"/>
      <c r="J22" s="24"/>
      <c r="K22" s="23"/>
      <c r="L22" s="25"/>
      <c r="M22" s="23"/>
      <c r="N22" s="24"/>
      <c r="O22" s="23"/>
    </row>
    <row r="23" customFormat="false" ht="18.75" hidden="false" customHeight="true" outlineLevel="0" collapsed="false">
      <c r="A23" s="26" t="s">
        <v>413</v>
      </c>
      <c r="B23" s="27" t="s">
        <v>29</v>
      </c>
      <c r="C23" s="28"/>
      <c r="D23" s="28"/>
      <c r="E23" s="29" t="str">
        <f aca="false">IF(AND(C23&lt;&gt;"",D23&lt;&gt;""),IF(D23&gt;=C23,ROUND((D23-C23)*24,2),ROUND((D23-C23+1)*24,2)),"")</f>
        <v/>
      </c>
      <c r="F23" s="30" t="str">
        <f aca="false">IF(E23&lt;&gt;"",ROUND(E23*$I$2,0),"")</f>
        <v/>
      </c>
      <c r="G23" s="31"/>
      <c r="H23" s="32"/>
      <c r="I23" s="30"/>
      <c r="J23" s="31"/>
      <c r="K23" s="30"/>
      <c r="L23" s="32"/>
      <c r="M23" s="30"/>
      <c r="N23" s="31"/>
      <c r="O23" s="30"/>
    </row>
    <row r="24" customFormat="false" ht="18.75" hidden="false" customHeight="true" outlineLevel="0" collapsed="false">
      <c r="A24" s="9" t="s">
        <v>414</v>
      </c>
      <c r="B24" s="10" t="s">
        <v>31</v>
      </c>
      <c r="C24" s="11"/>
      <c r="D24" s="11"/>
      <c r="E24" s="12" t="str">
        <f aca="false">IF(AND(C24&lt;&gt;"",D24&lt;&gt;""),IF(D24&gt;=C24,ROUND((D24-C24)*24,2),ROUND((D24-C24+1)*24,2)),"")</f>
        <v/>
      </c>
      <c r="F24" s="13" t="str">
        <f aca="false">IF(E24&lt;&gt;"",ROUND(E24*$I$2,0),"")</f>
        <v/>
      </c>
      <c r="G24" s="14"/>
      <c r="H24" s="15"/>
      <c r="I24" s="16"/>
      <c r="J24" s="14"/>
      <c r="K24" s="16"/>
      <c r="L24" s="15"/>
      <c r="M24" s="17"/>
      <c r="N24" s="18"/>
      <c r="O24" s="17"/>
    </row>
    <row r="25" customFormat="false" ht="18.75" hidden="false" customHeight="true" outlineLevel="0" collapsed="false">
      <c r="A25" s="9" t="s">
        <v>415</v>
      </c>
      <c r="B25" s="10" t="s">
        <v>33</v>
      </c>
      <c r="C25" s="11"/>
      <c r="D25" s="11"/>
      <c r="E25" s="12" t="str">
        <f aca="false">IF(AND(C25&lt;&gt;"",D25&lt;&gt;""),IF(D25&gt;=C25,ROUND((D25-C25)*24,2),ROUND((D25-C25+1)*24,2)),"")</f>
        <v/>
      </c>
      <c r="F25" s="13" t="str">
        <f aca="false">IF(E25&lt;&gt;"",ROUND(E25*$I$2,0),"")</f>
        <v/>
      </c>
      <c r="G25" s="14"/>
      <c r="H25" s="15"/>
      <c r="I25" s="16"/>
      <c r="J25" s="14"/>
      <c r="K25" s="16"/>
      <c r="L25" s="15"/>
      <c r="M25" s="17"/>
      <c r="N25" s="18"/>
      <c r="O25" s="17"/>
    </row>
    <row r="26" customFormat="false" ht="18.75" hidden="false" customHeight="true" outlineLevel="0" collapsed="false">
      <c r="A26" s="9" t="s">
        <v>416</v>
      </c>
      <c r="B26" s="10" t="s">
        <v>35</v>
      </c>
      <c r="C26" s="11"/>
      <c r="D26" s="11"/>
      <c r="E26" s="12" t="str">
        <f aca="false">IF(AND(C26&lt;&gt;"",D26&lt;&gt;""),IF(D26&gt;=C26,ROUND((D26-C26)*24,2),ROUND((D26-C26+1)*24,2)),"")</f>
        <v/>
      </c>
      <c r="F26" s="13" t="str">
        <f aca="false">IF(E26&lt;&gt;"",ROUND(E26*$I$2,0),"")</f>
        <v/>
      </c>
      <c r="G26" s="14"/>
      <c r="H26" s="15"/>
      <c r="I26" s="16"/>
      <c r="J26" s="14"/>
      <c r="K26" s="16"/>
      <c r="L26" s="15"/>
      <c r="M26" s="17"/>
      <c r="N26" s="18"/>
      <c r="O26" s="17"/>
    </row>
    <row r="27" customFormat="false" ht="18.75" hidden="false" customHeight="true" outlineLevel="0" collapsed="false">
      <c r="A27" s="9" t="s">
        <v>417</v>
      </c>
      <c r="B27" s="10" t="s">
        <v>23</v>
      </c>
      <c r="C27" s="11"/>
      <c r="D27" s="11"/>
      <c r="E27" s="12" t="str">
        <f aca="false">IF(AND(C27&lt;&gt;"",D27&lt;&gt;""),IF(D27&gt;=C27,ROUND((D27-C27)*24,2),ROUND((D27-C27+1)*24,2)),"")</f>
        <v/>
      </c>
      <c r="F27" s="13" t="str">
        <f aca="false">IF(E27&lt;&gt;"",ROUND(E27*$I$2,0),"")</f>
        <v/>
      </c>
      <c r="G27" s="14"/>
      <c r="H27" s="15"/>
      <c r="I27" s="16"/>
      <c r="J27" s="14"/>
      <c r="K27" s="16"/>
      <c r="L27" s="15"/>
      <c r="M27" s="17"/>
      <c r="N27" s="18"/>
      <c r="O27" s="17"/>
    </row>
    <row r="28" customFormat="false" ht="18.75" hidden="false" customHeight="true" outlineLevel="0" collapsed="false">
      <c r="A28" s="9" t="s">
        <v>418</v>
      </c>
      <c r="B28" s="10" t="s">
        <v>25</v>
      </c>
      <c r="C28" s="11"/>
      <c r="D28" s="11"/>
      <c r="E28" s="12" t="str">
        <f aca="false">IF(AND(C28&lt;&gt;"",D28&lt;&gt;""),IF(D28&gt;=C28,ROUND((D28-C28)*24,2),ROUND((D28-C28+1)*24,2)),"")</f>
        <v/>
      </c>
      <c r="F28" s="13" t="str">
        <f aca="false">IF(E28&lt;&gt;"",ROUND(E28*$I$2,0),"")</f>
        <v/>
      </c>
      <c r="G28" s="14"/>
      <c r="H28" s="15"/>
      <c r="I28" s="16"/>
      <c r="J28" s="14"/>
      <c r="K28" s="16"/>
      <c r="L28" s="15"/>
      <c r="M28" s="17"/>
      <c r="N28" s="18"/>
      <c r="O28" s="17"/>
    </row>
    <row r="29" customFormat="false" ht="18.75" hidden="false" customHeight="true" outlineLevel="0" collapsed="false">
      <c r="A29" s="19" t="s">
        <v>419</v>
      </c>
      <c r="B29" s="20" t="s">
        <v>27</v>
      </c>
      <c r="C29" s="21"/>
      <c r="D29" s="21"/>
      <c r="E29" s="22" t="str">
        <f aca="false">IF(AND(C29&lt;&gt;"",D29&lt;&gt;""),IF(D29&gt;=C29,ROUND((D29-C29)*24,2),ROUND((D29-C29+1)*24,2)),"")</f>
        <v/>
      </c>
      <c r="F29" s="23" t="str">
        <f aca="false">IF(E29&lt;&gt;"",ROUND(E29*$I$2,0),"")</f>
        <v/>
      </c>
      <c r="G29" s="24"/>
      <c r="H29" s="25"/>
      <c r="I29" s="23"/>
      <c r="J29" s="24"/>
      <c r="K29" s="23"/>
      <c r="L29" s="25"/>
      <c r="M29" s="23"/>
      <c r="N29" s="24"/>
      <c r="O29" s="23"/>
    </row>
    <row r="30" customFormat="false" ht="18.75" hidden="false" customHeight="true" outlineLevel="0" collapsed="false">
      <c r="A30" s="26" t="s">
        <v>420</v>
      </c>
      <c r="B30" s="27" t="s">
        <v>29</v>
      </c>
      <c r="C30" s="28"/>
      <c r="D30" s="28"/>
      <c r="E30" s="29" t="str">
        <f aca="false">IF(AND(C30&lt;&gt;"",D30&lt;&gt;""),IF(D30&gt;=C30,ROUND((D30-C30)*24,2),ROUND((D30-C30+1)*24,2)),"")</f>
        <v/>
      </c>
      <c r="F30" s="30" t="str">
        <f aca="false">IF(E30&lt;&gt;"",ROUND(E30*$I$2,0),"")</f>
        <v/>
      </c>
      <c r="G30" s="31"/>
      <c r="H30" s="32"/>
      <c r="I30" s="30"/>
      <c r="J30" s="31"/>
      <c r="K30" s="30"/>
      <c r="L30" s="32"/>
      <c r="M30" s="30"/>
      <c r="N30" s="31"/>
      <c r="O30" s="30"/>
    </row>
    <row r="31" customFormat="false" ht="18.75" hidden="false" customHeight="true" outlineLevel="0" collapsed="false">
      <c r="A31" s="9" t="s">
        <v>421</v>
      </c>
      <c r="B31" s="10" t="s">
        <v>31</v>
      </c>
      <c r="C31" s="11"/>
      <c r="D31" s="11"/>
      <c r="E31" s="12" t="str">
        <f aca="false">IF(AND(C31&lt;&gt;"",D31&lt;&gt;""),IF(D31&gt;=C31,ROUND((D31-C31)*24,2),ROUND((D31-C31+1)*24,2)),"")</f>
        <v/>
      </c>
      <c r="F31" s="13" t="str">
        <f aca="false">IF(E31&lt;&gt;"",ROUND(E31*$I$2,0),"")</f>
        <v/>
      </c>
      <c r="G31" s="14"/>
      <c r="H31" s="15"/>
      <c r="I31" s="16"/>
      <c r="J31" s="14"/>
      <c r="K31" s="16"/>
      <c r="L31" s="15"/>
      <c r="M31" s="17"/>
      <c r="N31" s="18"/>
      <c r="O31" s="17"/>
    </row>
    <row r="32" customFormat="false" ht="18.75" hidden="false" customHeight="true" outlineLevel="0" collapsed="false">
      <c r="A32" s="9" t="s">
        <v>422</v>
      </c>
      <c r="B32" s="10" t="s">
        <v>33</v>
      </c>
      <c r="C32" s="11"/>
      <c r="D32" s="11"/>
      <c r="E32" s="12" t="str">
        <f aca="false">IF(AND(C32&lt;&gt;"",D32&lt;&gt;""),IF(D32&gt;=C32,ROUND((D32-C32)*24,2),ROUND((D32-C32+1)*24,2)),"")</f>
        <v/>
      </c>
      <c r="F32" s="13" t="str">
        <f aca="false">IF(E32&lt;&gt;"",ROUND(E32*$I$2,0),"")</f>
        <v/>
      </c>
      <c r="G32" s="14"/>
      <c r="H32" s="15"/>
      <c r="I32" s="16"/>
      <c r="J32" s="14"/>
      <c r="K32" s="16"/>
      <c r="L32" s="15"/>
      <c r="M32" s="17"/>
      <c r="N32" s="18"/>
      <c r="O32" s="17"/>
    </row>
    <row r="33" customFormat="false" ht="18.75" hidden="false" customHeight="true" outlineLevel="0" collapsed="false">
      <c r="A33" s="9" t="s">
        <v>423</v>
      </c>
      <c r="B33" s="10" t="s">
        <v>35</v>
      </c>
      <c r="C33" s="11"/>
      <c r="D33" s="11"/>
      <c r="E33" s="12" t="str">
        <f aca="false">IF(AND(C33&lt;&gt;"",D33&lt;&gt;""),IF(D33&gt;=C33,ROUND((D33-C33)*24,2),ROUND((D33-C33+1)*24,2)),"")</f>
        <v/>
      </c>
      <c r="F33" s="13" t="str">
        <f aca="false">IF(E33&lt;&gt;"",ROUND(E33*$I$2,0),"")</f>
        <v/>
      </c>
      <c r="G33" s="14"/>
      <c r="H33" s="15"/>
      <c r="I33" s="16"/>
      <c r="J33" s="14"/>
      <c r="K33" s="16"/>
      <c r="L33" s="15"/>
      <c r="M33" s="17"/>
      <c r="N33" s="18"/>
      <c r="O33" s="17"/>
    </row>
    <row r="34" customFormat="false" ht="18.75" hidden="false" customHeight="true" outlineLevel="0" collapsed="false">
      <c r="A34" s="9" t="s">
        <v>424</v>
      </c>
      <c r="B34" s="10" t="s">
        <v>23</v>
      </c>
      <c r="C34" s="11"/>
      <c r="D34" s="11"/>
      <c r="E34" s="12" t="str">
        <f aca="false">IF(AND(C34&lt;&gt;"",D34&lt;&gt;""),IF(D34&gt;=C34,ROUND((D34-C34)*24,2),ROUND((D34-C34+1)*24,2)),"")</f>
        <v/>
      </c>
      <c r="F34" s="13" t="str">
        <f aca="false">IF(E34&lt;&gt;"",ROUND(E34*$I$2,0),"")</f>
        <v/>
      </c>
      <c r="G34" s="14"/>
      <c r="H34" s="15"/>
      <c r="I34" s="16"/>
      <c r="J34" s="14"/>
      <c r="K34" s="16"/>
      <c r="L34" s="15"/>
      <c r="M34" s="17"/>
      <c r="N34" s="18"/>
      <c r="O34" s="17"/>
    </row>
    <row r="35" customFormat="false" ht="3.75" hidden="false" customHeight="true" outlineLevel="0" collapsed="false"/>
    <row r="36" customFormat="false" ht="25.5" hidden="false" customHeight="true" outlineLevel="0" collapsed="false">
      <c r="A36" s="33" t="s">
        <v>60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 customFormat="false" ht="22.5" hidden="false" customHeight="true" outlineLevel="0" collapsed="false">
      <c r="A37" s="34" t="s">
        <v>61</v>
      </c>
      <c r="B37" s="34"/>
      <c r="C37" s="34"/>
      <c r="D37" s="34"/>
      <c r="E37" s="34"/>
      <c r="F37" s="35" t="n">
        <f aca="false">COUNT(E4:E34)</f>
        <v>0</v>
      </c>
      <c r="G37" s="35"/>
      <c r="H37" s="35"/>
      <c r="I37" s="35"/>
      <c r="J37" s="35"/>
      <c r="K37" s="35"/>
      <c r="L37" s="35"/>
      <c r="M37" s="35"/>
      <c r="N37" s="35"/>
      <c r="O37" s="35"/>
    </row>
    <row r="38" customFormat="false" ht="22.5" hidden="false" customHeight="true" outlineLevel="0" collapsed="false">
      <c r="A38" s="36" t="s">
        <v>62</v>
      </c>
      <c r="B38" s="36"/>
      <c r="C38" s="36"/>
      <c r="D38" s="36"/>
      <c r="E38" s="36"/>
      <c r="F38" s="37" t="n">
        <f aca="false">SUM(E4:E34)</f>
        <v>0</v>
      </c>
      <c r="G38" s="37"/>
      <c r="H38" s="37"/>
      <c r="I38" s="37"/>
      <c r="J38" s="37"/>
      <c r="K38" s="37"/>
      <c r="L38" s="37"/>
      <c r="M38" s="37"/>
      <c r="N38" s="37"/>
      <c r="O38" s="37"/>
    </row>
    <row r="39" customFormat="false" ht="22.5" hidden="false" customHeight="true" outlineLevel="0" collapsed="false">
      <c r="A39" s="38" t="s">
        <v>63</v>
      </c>
      <c r="B39" s="38"/>
      <c r="C39" s="38"/>
      <c r="D39" s="38"/>
      <c r="E39" s="38"/>
      <c r="F39" s="39" t="n">
        <f aca="false">SUM(F4:F34)</f>
        <v>0</v>
      </c>
      <c r="G39" s="39"/>
      <c r="H39" s="39"/>
      <c r="I39" s="39"/>
      <c r="J39" s="39"/>
      <c r="K39" s="39"/>
      <c r="L39" s="39"/>
      <c r="M39" s="39"/>
      <c r="N39" s="39"/>
      <c r="O39" s="39"/>
    </row>
    <row r="40" customFormat="false" ht="22.5" hidden="false" customHeight="true" outlineLevel="0" collapsed="false">
      <c r="A40" s="36" t="s">
        <v>64</v>
      </c>
      <c r="B40" s="36"/>
      <c r="C40" s="36"/>
      <c r="D40" s="36"/>
      <c r="E40" s="36"/>
      <c r="F40" s="40" t="n">
        <f aca="false">IF(F39=0,0,IFERROR(VLOOKUP(F39,税額表!$A$2:$B$74,2,TRUE()),0))</f>
        <v>0</v>
      </c>
      <c r="G40" s="40"/>
      <c r="H40" s="40"/>
      <c r="I40" s="40"/>
      <c r="J40" s="40"/>
      <c r="K40" s="40"/>
      <c r="L40" s="40"/>
      <c r="M40" s="40"/>
      <c r="N40" s="40"/>
      <c r="O40" s="40"/>
    </row>
    <row r="41" customFormat="false" ht="22.5" hidden="false" customHeight="true" outlineLevel="0" collapsed="false">
      <c r="A41" s="38" t="s">
        <v>65</v>
      </c>
      <c r="B41" s="38"/>
      <c r="C41" s="38"/>
      <c r="D41" s="38"/>
      <c r="E41" s="38"/>
      <c r="F41" s="39" t="n">
        <f aca="false">F39-F40</f>
        <v>0</v>
      </c>
      <c r="G41" s="39"/>
      <c r="H41" s="39"/>
      <c r="I41" s="39"/>
      <c r="J41" s="39"/>
      <c r="K41" s="39"/>
      <c r="L41" s="39"/>
      <c r="M41" s="39"/>
      <c r="N41" s="39"/>
      <c r="O41" s="39"/>
    </row>
    <row r="42" customFormat="false" ht="22.5" hidden="false" customHeight="true" outlineLevel="0" collapsed="false">
      <c r="A42" s="36" t="s">
        <v>66</v>
      </c>
      <c r="B42" s="36"/>
      <c r="C42" s="36"/>
      <c r="D42" s="36"/>
      <c r="E42" s="36"/>
      <c r="F42" s="40" t="n">
        <f aca="false">SUM(I4:I34)</f>
        <v>0</v>
      </c>
      <c r="G42" s="40"/>
      <c r="H42" s="40"/>
      <c r="I42" s="40"/>
      <c r="J42" s="40"/>
      <c r="K42" s="40"/>
      <c r="L42" s="40"/>
      <c r="M42" s="40"/>
      <c r="N42" s="40"/>
      <c r="O42" s="40"/>
    </row>
    <row r="43" customFormat="false" ht="22.5" hidden="false" customHeight="true" outlineLevel="0" collapsed="false">
      <c r="A43" s="36" t="s">
        <v>67</v>
      </c>
      <c r="B43" s="36"/>
      <c r="C43" s="36"/>
      <c r="D43" s="36"/>
      <c r="E43" s="36"/>
      <c r="F43" s="40" t="n">
        <f aca="false">SUMIF(L4:L34,"現金",K4:K34)+SUMIF(L4:L34,"個人カード",K4:K34)</f>
        <v>0</v>
      </c>
      <c r="G43" s="40"/>
      <c r="H43" s="40"/>
      <c r="I43" s="40"/>
      <c r="J43" s="40"/>
      <c r="K43" s="40"/>
      <c r="L43" s="40"/>
      <c r="M43" s="40"/>
      <c r="N43" s="40"/>
      <c r="O43" s="40"/>
    </row>
    <row r="44" customFormat="false" ht="22.5" hidden="false" customHeight="true" outlineLevel="0" collapsed="false">
      <c r="A44" s="41" t="s">
        <v>68</v>
      </c>
      <c r="B44" s="41"/>
      <c r="C44" s="41"/>
      <c r="D44" s="41"/>
      <c r="E44" s="41"/>
      <c r="F44" s="42" t="n">
        <f aca="false">SUM(M4:M34)</f>
        <v>0</v>
      </c>
      <c r="G44" s="42"/>
      <c r="H44" s="42"/>
      <c r="I44" s="42"/>
      <c r="J44" s="42"/>
      <c r="K44" s="42"/>
      <c r="L44" s="42"/>
      <c r="M44" s="42"/>
      <c r="N44" s="42"/>
      <c r="O44" s="42"/>
    </row>
    <row r="45" customFormat="false" ht="22.5" hidden="false" customHeight="true" outlineLevel="0" collapsed="false">
      <c r="A45" s="41" t="s">
        <v>69</v>
      </c>
      <c r="B45" s="41"/>
      <c r="C45" s="41"/>
      <c r="D45" s="41"/>
      <c r="E45" s="41"/>
      <c r="F45" s="42" t="n">
        <f aca="false">SUM(O4:O34)</f>
        <v>0</v>
      </c>
      <c r="G45" s="42"/>
      <c r="H45" s="42"/>
      <c r="I45" s="42"/>
      <c r="J45" s="42"/>
      <c r="K45" s="42"/>
      <c r="L45" s="42"/>
      <c r="M45" s="42"/>
      <c r="N45" s="42"/>
      <c r="O45" s="42"/>
    </row>
    <row r="46" customFormat="false" ht="22.5" hidden="false" customHeight="true" outlineLevel="0" collapsed="false">
      <c r="A46" s="43" t="s">
        <v>70</v>
      </c>
      <c r="B46" s="43"/>
      <c r="C46" s="43"/>
      <c r="D46" s="43"/>
      <c r="E46" s="43"/>
      <c r="F46" s="44" t="n">
        <f aca="false">'11月'!F42</f>
        <v>0</v>
      </c>
      <c r="G46" s="44"/>
      <c r="H46" s="44"/>
      <c r="I46" s="44"/>
      <c r="J46" s="44"/>
      <c r="K46" s="44"/>
      <c r="L46" s="44"/>
      <c r="M46" s="44"/>
      <c r="N46" s="44"/>
      <c r="O46" s="44"/>
    </row>
    <row r="47" customFormat="false" ht="22.5" hidden="false" customHeight="true" outlineLevel="0" collapsed="false">
      <c r="A47" s="45" t="s">
        <v>71</v>
      </c>
      <c r="B47" s="45"/>
      <c r="C47" s="45"/>
      <c r="D47" s="45"/>
      <c r="E47" s="45"/>
      <c r="F47" s="46" t="n">
        <f aca="false">F41+F42+F43+F44+F45+F46</f>
        <v>0</v>
      </c>
      <c r="G47" s="46"/>
      <c r="H47" s="46"/>
      <c r="I47" s="46"/>
      <c r="J47" s="46"/>
      <c r="K47" s="46"/>
      <c r="L47" s="46"/>
      <c r="M47" s="46"/>
      <c r="N47" s="46"/>
      <c r="O47" s="46"/>
    </row>
    <row r="49" customFormat="false" ht="13.5" hidden="false" customHeight="true" outlineLevel="0" collapsed="false">
      <c r="A49" s="47" t="s">
        <v>72</v>
      </c>
      <c r="B49" s="47"/>
      <c r="C49" s="48" t="s">
        <v>73</v>
      </c>
      <c r="D49" s="48"/>
      <c r="E49" s="49" t="s">
        <v>74</v>
      </c>
      <c r="F49" s="49"/>
      <c r="G49" s="50" t="s">
        <v>75</v>
      </c>
      <c r="H49" s="50"/>
      <c r="I49" s="51" t="s">
        <v>76</v>
      </c>
      <c r="J49" s="51"/>
      <c r="K49" s="52" t="s">
        <v>108</v>
      </c>
      <c r="L49" s="52"/>
    </row>
    <row r="50" customFormat="false" ht="30" hidden="false" customHeight="true" outlineLevel="0" collapsed="false">
      <c r="A50" s="53" t="s">
        <v>78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</row>
  </sheetData>
  <mergeCells count="36">
    <mergeCell ref="A1:O1"/>
    <mergeCell ref="A2:B2"/>
    <mergeCell ref="C2:F2"/>
    <mergeCell ref="G2:H2"/>
    <mergeCell ref="I2:K2"/>
    <mergeCell ref="L2:O2"/>
    <mergeCell ref="A36:O36"/>
    <mergeCell ref="A37:E37"/>
    <mergeCell ref="F37:O37"/>
    <mergeCell ref="A38:E38"/>
    <mergeCell ref="F38:O38"/>
    <mergeCell ref="A39:E39"/>
    <mergeCell ref="F39:O39"/>
    <mergeCell ref="A40:E40"/>
    <mergeCell ref="F40:O40"/>
    <mergeCell ref="A41:E41"/>
    <mergeCell ref="F41:O41"/>
    <mergeCell ref="A42:E42"/>
    <mergeCell ref="F42:O42"/>
    <mergeCell ref="A43:E43"/>
    <mergeCell ref="F43:O43"/>
    <mergeCell ref="A44:E44"/>
    <mergeCell ref="F44:O44"/>
    <mergeCell ref="A45:E45"/>
    <mergeCell ref="F45:O45"/>
    <mergeCell ref="A46:E46"/>
    <mergeCell ref="F46:O46"/>
    <mergeCell ref="A47:E47"/>
    <mergeCell ref="F47:O47"/>
    <mergeCell ref="A49:B49"/>
    <mergeCell ref="C49:D49"/>
    <mergeCell ref="E49:F49"/>
    <mergeCell ref="G49:H49"/>
    <mergeCell ref="I49:J49"/>
    <mergeCell ref="K49:L49"/>
    <mergeCell ref="A50:O50"/>
  </mergeCells>
  <dataValidations count="1">
    <dataValidation allowBlank="true" error="「現金」「個人カード」「法人カード」から選択してください。" errorStyle="stop" errorTitle="入力エラー" operator="between" showDropDown="false" showErrorMessage="true" showInputMessage="false" sqref="L4:L34" type="list">
      <formula1>"現金,個人カード,法人カード"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2026-03-03T23:56:58Z</dcterms:created>
  <dc:creator>openpyxl</dc:creator>
  <dc:description/>
  <dc:language>en-US</dc:language>
  <cp:lastModifiedBy>YUICHI NAKAMOTO</cp:lastModifiedBy>
  <cp:lastPrinted>2026-06-14T13:35:50Z</cp:lastPrinted>
  <dcterms:modified xsi:type="dcterms:W3CDTF">2026-08-14T15:12:49Z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